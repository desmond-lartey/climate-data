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60e105b0b5a847/Spain/Paper 1/precipitation_assessment/outputs/"/>
    </mc:Choice>
  </mc:AlternateContent>
  <xr:revisionPtr revIDLastSave="7" documentId="11_70BB3A7B14F8EF35A4297AA85B1E4281A15052C6" xr6:coauthVersionLast="47" xr6:coauthVersionMax="47" xr10:uidLastSave="{A5AEBE58-E285-401A-B330-FFE8A4013F50}"/>
  <bookViews>
    <workbookView xWindow="-110" yWindow="-110" windowWidth="19420" windowHeight="10300" activeTab="1" xr2:uid="{00000000-000D-0000-FFFF-FFFF00000000}"/>
  </bookViews>
  <sheets>
    <sheet name="SCORECARD" sheetId="1" r:id="rId1"/>
    <sheet name="SELECTOR" sheetId="2" r:id="rId2"/>
    <sheet name="README" sheetId="3" r:id="rId3"/>
    <sheet name="DATA_by_zone" sheetId="4" r:id="rId4"/>
    <sheet name="DATA_overall" sheetId="5" r:id="rId5"/>
    <sheet name="DATA_threshold" sheetId="6" r:id="rId6"/>
    <sheet name="SCORES" sheetId="7" r:id="rId7"/>
    <sheet name="APP_WEIGHTS" sheetId="8" r:id="rId8"/>
  </sheets>
  <definedNames>
    <definedName name="_xlnm._FilterDatabase" localSheetId="3" hidden="1">DATA_by_zone!$A$1:$V$1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1" i="6" l="1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G41" i="2" s="1"/>
  <c r="I5" i="6"/>
  <c r="I4" i="6"/>
  <c r="I3" i="6"/>
  <c r="I2" i="6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I23" i="2" s="1"/>
  <c r="E40" i="2"/>
  <c r="G38" i="2"/>
  <c r="D37" i="2"/>
  <c r="J23" i="2"/>
  <c r="D23" i="2"/>
  <c r="K22" i="2"/>
  <c r="D22" i="2"/>
  <c r="D21" i="2"/>
  <c r="E20" i="2"/>
  <c r="D20" i="2"/>
  <c r="F19" i="2"/>
  <c r="D19" i="2"/>
  <c r="G18" i="2"/>
  <c r="D18" i="2"/>
  <c r="B14" i="2"/>
  <c r="H13" i="2"/>
  <c r="G13" i="2"/>
  <c r="F13" i="2"/>
  <c r="E13" i="2"/>
  <c r="D13" i="2"/>
  <c r="C13" i="2"/>
  <c r="B13" i="2"/>
  <c r="C18" i="1"/>
  <c r="C8" i="1"/>
  <c r="B23" i="2" l="1"/>
  <c r="B18" i="2"/>
  <c r="B19" i="2"/>
  <c r="B20" i="2"/>
  <c r="B22" i="2"/>
  <c r="B21" i="2"/>
  <c r="C9" i="1"/>
  <c r="C19" i="1"/>
  <c r="H18" i="2"/>
  <c r="G19" i="2"/>
  <c r="F20" i="2"/>
  <c r="E21" i="2"/>
  <c r="K23" i="2"/>
  <c r="E37" i="2"/>
  <c r="C39" i="2"/>
  <c r="F40" i="2"/>
  <c r="H19" i="2"/>
  <c r="C36" i="2"/>
  <c r="F37" i="2"/>
  <c r="D39" i="2"/>
  <c r="G40" i="2"/>
  <c r="F21" i="2"/>
  <c r="E22" i="2"/>
  <c r="C11" i="1"/>
  <c r="C21" i="1"/>
  <c r="J18" i="2"/>
  <c r="I19" i="2"/>
  <c r="H20" i="2"/>
  <c r="G21" i="2"/>
  <c r="F22" i="2"/>
  <c r="E23" i="2"/>
  <c r="D36" i="2"/>
  <c r="G37" i="2"/>
  <c r="E39" i="2"/>
  <c r="C41" i="2"/>
  <c r="K18" i="2"/>
  <c r="J19" i="2"/>
  <c r="I20" i="2"/>
  <c r="H21" i="2"/>
  <c r="G22" i="2"/>
  <c r="F23" i="2"/>
  <c r="E36" i="2"/>
  <c r="C38" i="2"/>
  <c r="F39" i="2"/>
  <c r="D41" i="2"/>
  <c r="K19" i="2"/>
  <c r="J20" i="2"/>
  <c r="I21" i="2"/>
  <c r="H22" i="2"/>
  <c r="G23" i="2"/>
  <c r="F36" i="2"/>
  <c r="D38" i="2"/>
  <c r="G39" i="2"/>
  <c r="E41" i="2"/>
  <c r="C20" i="1"/>
  <c r="G20" i="2"/>
  <c r="C13" i="1"/>
  <c r="C14" i="1"/>
  <c r="E18" i="2"/>
  <c r="K20" i="2"/>
  <c r="J21" i="2"/>
  <c r="I22" i="2"/>
  <c r="H23" i="2"/>
  <c r="G36" i="2"/>
  <c r="E38" i="2"/>
  <c r="C40" i="2"/>
  <c r="F41" i="2"/>
  <c r="C10" i="1"/>
  <c r="I18" i="2"/>
  <c r="C12" i="1"/>
  <c r="C17" i="1"/>
  <c r="F18" i="2"/>
  <c r="E19" i="2"/>
  <c r="K21" i="2"/>
  <c r="J22" i="2"/>
  <c r="C37" i="2"/>
  <c r="F38" i="2"/>
  <c r="D40" i="2"/>
</calcChain>
</file>

<file path=xl/sharedStrings.xml><?xml version="1.0" encoding="utf-8"?>
<sst xmlns="http://schemas.openxmlformats.org/spreadsheetml/2006/main" count="1667" uniqueCount="397">
  <si>
    <t>Full Metric Scorecard — by Zone and Product</t>
  </si>
  <si>
    <t>Zone</t>
  </si>
  <si>
    <t>Product</t>
  </si>
  <si>
    <t>Sahelian</t>
  </si>
  <si>
    <t>CHIRPS</t>
  </si>
  <si>
    <t>Continuous performance metrics</t>
  </si>
  <si>
    <t>Metric</t>
  </si>
  <si>
    <t>Value</t>
  </si>
  <si>
    <t>Perfect</t>
  </si>
  <si>
    <t>Interpretation</t>
  </si>
  <si>
    <t>KGE — Kling-Gupta efficiency</t>
  </si>
  <si>
    <t>1.0</t>
  </si>
  <si>
    <t>Primary ranking metric. Decomposes into r (timing), α (variability), β (bias). &lt;−0.41 = worse than mean.</t>
  </si>
  <si>
    <t>r — Pearson correlation</t>
  </si>
  <si>
    <t>Seasonal pattern agreement. &gt;0.85 = good. Key for phenology, fire onset, migration.</t>
  </si>
  <si>
    <t>NSE — Nash-Sutcliffe efficiency</t>
  </si>
  <si>
    <t>Hydrological benchmark. &lt;0 = worse than predicting observed mean.</t>
  </si>
  <si>
    <t>Bias — mean error (mm/day)</t>
  </si>
  <si>
    <t>0.0</t>
  </si>
  <si>
    <t>Positive = product wetter. Useful for water balance applications.</t>
  </si>
  <si>
    <t>PBIAS — percent bias (%)</t>
  </si>
  <si>
    <t>0%</t>
  </si>
  <si>
    <t>&gt;±25% indicates significant systematic error. Comparable across zones.</t>
  </si>
  <si>
    <t>MAE — mean absolute error</t>
  </si>
  <si>
    <t>Average error magnitude. Less sensitive to extremes than RMSE.</t>
  </si>
  <si>
    <t>RMSE — root mean squared error</t>
  </si>
  <si>
    <t>Penalises peak errors heavily. Key for flood risk applications.</t>
  </si>
  <si>
    <t>Categorical detection metrics (1.0 mm/day threshold)</t>
  </si>
  <si>
    <t>POD — probability of detection</t>
  </si>
  <si>
    <t>Fraction of wet months detected. &gt;0.85 = good. Critical for drought early warning.</t>
  </si>
  <si>
    <t>FAR — false alarm ratio</t>
  </si>
  <si>
    <t>Fraction of wet predictions that were dry. &lt;0.15 = acceptable for fire applications.</t>
  </si>
  <si>
    <t>CSI — critical success index</t>
  </si>
  <si>
    <t>Combined detection skill. &gt;0.75 = good for conservation planning.</t>
  </si>
  <si>
    <t>ETS — equitable threat score</t>
  </si>
  <si>
    <t>Detection adjusted for chance. &gt;0.3 = meaningful skill. Robust in dry zones.</t>
  </si>
  <si>
    <t>Freq. bias</t>
  </si>
  <si>
    <t>&gt;1 = over-predicts rain frequency. &lt;1 = under-predicts.</t>
  </si>
  <si>
    <t>West Africa Precipitation Product Selector</t>
  </si>
  <si>
    <t>Auto-generated from validation data · 6 products · 5 zones · 2001–2020</t>
  </si>
  <si>
    <t>STEP 1 — Select your management context</t>
  </si>
  <si>
    <t>Management application</t>
  </si>
  <si>
    <t>Ecological zone</t>
  </si>
  <si>
    <t>Detection threshold</t>
  </si>
  <si>
    <t>Uncertainty tolerance</t>
  </si>
  <si>
    <t>Fire risk monitoring</t>
  </si>
  <si>
    <t>Low — need high confidence</t>
  </si>
  <si>
    <t>Changing the application updates metric weights — rankings shift to reflect what matters for that use case. Zone controls which validation data is used.</t>
  </si>
  <si>
    <t>Active metric weights for selected application</t>
  </si>
  <si>
    <t>KGE</t>
  </si>
  <si>
    <t>r</t>
  </si>
  <si>
    <t>NSE</t>
  </si>
  <si>
    <t>POD</t>
  </si>
  <si>
    <t>FAR</t>
  </si>
  <si>
    <t>CSI</t>
  </si>
  <si>
    <t>PBIAS</t>
  </si>
  <si>
    <t>STEP 2 — Ranked products (updates with selection)</t>
  </si>
  <si>
    <t>Rank</t>
  </si>
  <si>
    <t>Weighted
score</t>
  </si>
  <si>
    <t>PBIAS%</t>
  </si>
  <si>
    <t>ERA5_LAND</t>
  </si>
  <si>
    <t>GPM_IMERG</t>
  </si>
  <si>
    <t>MERRA2</t>
  </si>
  <si>
    <t>PERSIANN_CDR</t>
  </si>
  <si>
    <t>TERRACLIMATE</t>
  </si>
  <si>
    <t>STEP 3 — Zone context &amp; cautions</t>
  </si>
  <si>
    <t>Saharian</t>
  </si>
  <si>
    <t>Hyperarid. FAR unstable at any threshold. Use MERRA-2 or PERSIANN-CDR. Never rely on absolute PBIAS alone.</t>
  </si>
  <si>
    <t>Unimodal wet season Jul-Sep. GPM-IMERG leads on KGE. Report threshold sensitivity in publications.</t>
  </si>
  <si>
    <t>Soudanian</t>
  </si>
  <si>
    <t>Reliable rainfall. CHIRPS and GPM-IMERG consistently strong. Safe for hydrological modelling.</t>
  </si>
  <si>
    <t>Guinean</t>
  </si>
  <si>
    <t>Bimodal Jun+Oct. Most products overestimate magnitude. Prioritise r over KGE. Avoid TerraClimate for absolutes.</t>
  </si>
  <si>
    <t>Guineo-Congolean</t>
  </si>
  <si>
    <t>High-rainfall equatorial. GPM-IMERG best KGE. TerraClimate severely overestimates — avoid for water balance.</t>
  </si>
  <si>
    <t>All West Africa</t>
  </si>
  <si>
    <t>Pooled across 16 stations and 5 zones. GPM-IMERG leads overall. Zone-specific selection always preferred.</t>
  </si>
  <si>
    <t>Detection metrics at selected threshold — all products</t>
  </si>
  <si>
    <t>ETS</t>
  </si>
  <si>
    <t>Freq.bias</t>
  </si>
  <si>
    <t>West Africa Precipitation Decision Tool — README</t>
  </si>
  <si>
    <t>HOW TO USE</t>
  </si>
  <si>
    <t>SELECTOR sheet</t>
  </si>
  <si>
    <t>Main tool. Use the 4 dropdowns to select application, zone, threshold, and uncertainty tolerance. The product ranking and metric values update automatically.</t>
  </si>
  <si>
    <t>SCORECARD sheet</t>
  </si>
  <si>
    <t>Select any zone and product to see the complete 13-metric profile with interpretation guidance.</t>
  </si>
  <si>
    <t>DATA sheets</t>
  </si>
  <si>
    <t>DATA_by_zone, DATA_overall, DATA_threshold — raw validation outputs. Do not edit these manually.</t>
  </si>
  <si>
    <t>SCORES sheet</t>
  </si>
  <si>
    <t>Pre-computed weighted scores for all app × zone × product combinations. Used by SELECTOR formulas.</t>
  </si>
  <si>
    <t>APP_WEIGHTS sheet</t>
  </si>
  <si>
    <t>Metric weight profiles per application. Edit these to customise the scoring for your own priorities.</t>
  </si>
  <si>
    <t>HOW TO REFRESH DATA</t>
  </si>
  <si>
    <t>After new pipeline run</t>
  </si>
  <si>
    <t>Replace contents of DATA_by_zone, DATA_overall, DATA_threshold by running: python generate_decision_tool.py</t>
  </si>
  <si>
    <t>Script reads</t>
  </si>
  <si>
    <t>DATA_DIR/validation_by_zone.csv, validation_overall.csv, product_ranking_by_zone.csv, threshold_sensitivity.csv</t>
  </si>
  <si>
    <t>ECOLOGICAL ZONES</t>
  </si>
  <si>
    <t>Hyperarid (&lt;25 mm/yr). 1 station: Nouakchott (WA016). FAR structurally elevated — use with caution.</t>
  </si>
  <si>
    <t>200-600 mm/yr. 5 stations: Dakar, Bamako, Ouagadougou, Niamey, Banjul.</t>
  </si>
  <si>
    <t>600-1200 mm/yr. 3 stations: Abuja, Conakry, Kano.</t>
  </si>
  <si>
    <t>1200-2000 mm/yr. 3 stations: Freetown, Monrovia, Kumasi.</t>
  </si>
  <si>
    <t>&gt;2000 mm/yr. 4 stations: Accra, Abidjan, Lomé, Cotonou.</t>
  </si>
  <si>
    <t>zone_name</t>
  </si>
  <si>
    <t>product</t>
  </si>
  <si>
    <t>n_stations</t>
  </si>
  <si>
    <t>n_station_months</t>
  </si>
  <si>
    <t>n</t>
  </si>
  <si>
    <t>bias</t>
  </si>
  <si>
    <t>pbias</t>
  </si>
  <si>
    <t>mae</t>
  </si>
  <si>
    <t>rmse</t>
  </si>
  <si>
    <t>r2</t>
  </si>
  <si>
    <t>nse</t>
  </si>
  <si>
    <t>kge</t>
  </si>
  <si>
    <t>pod</t>
  </si>
  <si>
    <t>far</t>
  </si>
  <si>
    <t>csi</t>
  </si>
  <si>
    <t>ets</t>
  </si>
  <si>
    <t>freq_bias</t>
  </si>
  <si>
    <t>hits</t>
  </si>
  <si>
    <t>misses</t>
  </si>
  <si>
    <t>false_al</t>
  </si>
  <si>
    <t>correct_neg</t>
  </si>
  <si>
    <t>LOOKUP_KEY</t>
  </si>
  <si>
    <t>threshold</t>
  </si>
  <si>
    <t>zone</t>
  </si>
  <si>
    <t>app</t>
  </si>
  <si>
    <t>score</t>
  </si>
  <si>
    <t>score_key</t>
  </si>
  <si>
    <t>Fire risk monitoringAll West AfricaCHIRPS</t>
  </si>
  <si>
    <t>Fire risk monitoringAll West AfricaERA5_LAND</t>
  </si>
  <si>
    <t>Fire risk monitoringAll West AfricaGPM_IMERG</t>
  </si>
  <si>
    <t>Fire risk monitoringAll West AfricaMERRA2</t>
  </si>
  <si>
    <t>Fire risk monitoringAll West AfricaPERSIANN_CDR</t>
  </si>
  <si>
    <t>Fire risk monitoringAll West AfricaTERRACLIMATE</t>
  </si>
  <si>
    <t>Fire risk monitoringGuineanCHIRPS</t>
  </si>
  <si>
    <t>Fire risk monitoringGuineanERA5_LAND</t>
  </si>
  <si>
    <t>Fire risk monitoringGuineanGPM_IMERG</t>
  </si>
  <si>
    <t>Fire risk monitoringGuineanMERRA2</t>
  </si>
  <si>
    <t>Fire risk monitoringGuineanPERSIANN_CDR</t>
  </si>
  <si>
    <t>Fire risk monitoringGuineanTERRACLIMATE</t>
  </si>
  <si>
    <t>Fire risk monitoringGuineo-CongoleanCHIRPS</t>
  </si>
  <si>
    <t>Fire risk monitoringGuineo-CongoleanERA5_LAND</t>
  </si>
  <si>
    <t>Fire risk monitoringGuineo-CongoleanGPM_IMERG</t>
  </si>
  <si>
    <t>Fire risk monitoringGuineo-CongoleanMERRA2</t>
  </si>
  <si>
    <t>Fire risk monitoringGuineo-CongoleanPERSIANN_CDR</t>
  </si>
  <si>
    <t>Fire risk monitoringGuineo-CongoleanTERRACLIMATE</t>
  </si>
  <si>
    <t>Fire risk monitoringSaharianCHIRPS</t>
  </si>
  <si>
    <t>Fire risk monitoringSaharianERA5_LAND</t>
  </si>
  <si>
    <t>Fire risk monitoringSaharianGPM_IMERG</t>
  </si>
  <si>
    <t>Fire risk monitoringSaharianMERRA2</t>
  </si>
  <si>
    <t>Fire risk monitoringSaharianPERSIANN_CDR</t>
  </si>
  <si>
    <t>Fire risk monitoringSaharianTERRACLIMATE</t>
  </si>
  <si>
    <t>Fire risk monitoringSahelianCHIRPS</t>
  </si>
  <si>
    <t>Fire risk monitoringSahelianERA5_LAND</t>
  </si>
  <si>
    <t>Fire risk monitoringSahelianGPM_IMERG</t>
  </si>
  <si>
    <t>Fire risk monitoringSahelianMERRA2</t>
  </si>
  <si>
    <t>Fire risk monitoringSahelianPERSIANN_CDR</t>
  </si>
  <si>
    <t>Fire risk monitoringSahelianTERRACLIMATE</t>
  </si>
  <si>
    <t>Fire risk monitoringSoudanianCHIRPS</t>
  </si>
  <si>
    <t>Fire risk monitoringSoudanianERA5_LAND</t>
  </si>
  <si>
    <t>Fire risk monitoringSoudanianGPM_IMERG</t>
  </si>
  <si>
    <t>Fire risk monitoringSoudanianMERRA2</t>
  </si>
  <si>
    <t>Fire risk monitoringSoudanianPERSIANN_CDR</t>
  </si>
  <si>
    <t>Fire risk monitoringSoudanianTERRACLIMATE</t>
  </si>
  <si>
    <t>Wildlife &amp; habitat</t>
  </si>
  <si>
    <t>Wildlife &amp; habitatAll West AfricaCHIRPS</t>
  </si>
  <si>
    <t>Wildlife &amp; habitatAll West AfricaERA5_LAND</t>
  </si>
  <si>
    <t>Wildlife &amp; habitatAll West AfricaGPM_IMERG</t>
  </si>
  <si>
    <t>Wildlife &amp; habitatAll West AfricaMERRA2</t>
  </si>
  <si>
    <t>Wildlife &amp; habitatAll West AfricaPERSIANN_CDR</t>
  </si>
  <si>
    <t>Wildlife &amp; habitatAll West AfricaTERRACLIMATE</t>
  </si>
  <si>
    <t>Wildlife &amp; habitatGuineanCHIRPS</t>
  </si>
  <si>
    <t>Wildlife &amp; habitatGuineanERA5_LAND</t>
  </si>
  <si>
    <t>Wildlife &amp; habitatGuineanGPM_IMERG</t>
  </si>
  <si>
    <t>Wildlife &amp; habitatGuineanMERRA2</t>
  </si>
  <si>
    <t>Wildlife &amp; habitatGuineanPERSIANN_CDR</t>
  </si>
  <si>
    <t>Wildlife &amp; habitatGuineanTERRACLIMATE</t>
  </si>
  <si>
    <t>Wildlife &amp; habitatGuineo-CongoleanCHIRPS</t>
  </si>
  <si>
    <t>Wildlife &amp; habitatGuineo-CongoleanERA5_LAND</t>
  </si>
  <si>
    <t>Wildlife &amp; habitatGuineo-CongoleanGPM_IMERG</t>
  </si>
  <si>
    <t>Wildlife &amp; habitatGuineo-CongoleanMERRA2</t>
  </si>
  <si>
    <t>Wildlife &amp; habitatGuineo-CongoleanPERSIANN_CDR</t>
  </si>
  <si>
    <t>Wildlife &amp; habitatGuineo-CongoleanTERRACLIMATE</t>
  </si>
  <si>
    <t>Wildlife &amp; habitatSaharianCHIRPS</t>
  </si>
  <si>
    <t>Wildlife &amp; habitatSaharianERA5_LAND</t>
  </si>
  <si>
    <t>Wildlife &amp; habitatSaharianGPM_IMERG</t>
  </si>
  <si>
    <t>Wildlife &amp; habitatSaharianMERRA2</t>
  </si>
  <si>
    <t>Wildlife &amp; habitatSaharianPERSIANN_CDR</t>
  </si>
  <si>
    <t>Wildlife &amp; habitatSaharianTERRACLIMATE</t>
  </si>
  <si>
    <t>Wildlife &amp; habitatSahelianCHIRPS</t>
  </si>
  <si>
    <t>Wildlife &amp; habitatSahelianERA5_LAND</t>
  </si>
  <si>
    <t>Wildlife &amp; habitatSahelianGPM_IMERG</t>
  </si>
  <si>
    <t>Wildlife &amp; habitatSahelianMERRA2</t>
  </si>
  <si>
    <t>Wildlife &amp; habitatSahelianPERSIANN_CDR</t>
  </si>
  <si>
    <t>Wildlife &amp; habitatSahelianTERRACLIMATE</t>
  </si>
  <si>
    <t>Wildlife &amp; habitatSoudanianCHIRPS</t>
  </si>
  <si>
    <t>Wildlife &amp; habitatSoudanianERA5_LAND</t>
  </si>
  <si>
    <t>Wildlife &amp; habitatSoudanianGPM_IMERG</t>
  </si>
  <si>
    <t>Wildlife &amp; habitatSoudanianMERRA2</t>
  </si>
  <si>
    <t>Wildlife &amp; habitatSoudanianPERSIANN_CDR</t>
  </si>
  <si>
    <t>Wildlife &amp; habitatSoudanianTERRACLIMATE</t>
  </si>
  <si>
    <t>Drought early warning</t>
  </si>
  <si>
    <t>Drought early warningAll West AfricaCHIRPS</t>
  </si>
  <si>
    <t>Drought early warningAll West AfricaERA5_LAND</t>
  </si>
  <si>
    <t>Drought early warningAll West AfricaGPM_IMERG</t>
  </si>
  <si>
    <t>Drought early warningAll West AfricaMERRA2</t>
  </si>
  <si>
    <t>Drought early warningAll West AfricaPERSIANN_CDR</t>
  </si>
  <si>
    <t>Drought early warningAll West AfricaTERRACLIMATE</t>
  </si>
  <si>
    <t>Drought early warningGuineanCHIRPS</t>
  </si>
  <si>
    <t>Drought early warningGuineanERA5_LAND</t>
  </si>
  <si>
    <t>Drought early warningGuineanGPM_IMERG</t>
  </si>
  <si>
    <t>Drought early warningGuineanMERRA2</t>
  </si>
  <si>
    <t>Drought early warningGuineanPERSIANN_CDR</t>
  </si>
  <si>
    <t>Drought early warningGuineanTERRACLIMATE</t>
  </si>
  <si>
    <t>Drought early warningGuineo-CongoleanCHIRPS</t>
  </si>
  <si>
    <t>Drought early warningGuineo-CongoleanERA5_LAND</t>
  </si>
  <si>
    <t>Drought early warningGuineo-CongoleanGPM_IMERG</t>
  </si>
  <si>
    <t>Drought early warningGuineo-CongoleanMERRA2</t>
  </si>
  <si>
    <t>Drought early warningGuineo-CongoleanPERSIANN_CDR</t>
  </si>
  <si>
    <t>Drought early warningGuineo-CongoleanTERRACLIMATE</t>
  </si>
  <si>
    <t>Drought early warningSaharianCHIRPS</t>
  </si>
  <si>
    <t>Drought early warningSaharianERA5_LAND</t>
  </si>
  <si>
    <t>Drought early warningSaharianGPM_IMERG</t>
  </si>
  <si>
    <t>Drought early warningSaharianMERRA2</t>
  </si>
  <si>
    <t>Drought early warningSaharianPERSIANN_CDR</t>
  </si>
  <si>
    <t>Drought early warningSaharianTERRACLIMATE</t>
  </si>
  <si>
    <t>Drought early warningSahelianCHIRPS</t>
  </si>
  <si>
    <t>Drought early warningSahelianERA5_LAND</t>
  </si>
  <si>
    <t>Drought early warningSahelianGPM_IMERG</t>
  </si>
  <si>
    <t>Drought early warningSahelianMERRA2</t>
  </si>
  <si>
    <t>Drought early warningSahelianPERSIANN_CDR</t>
  </si>
  <si>
    <t>Drought early warningSahelianTERRACLIMATE</t>
  </si>
  <si>
    <t>Drought early warningSoudanianCHIRPS</t>
  </si>
  <si>
    <t>Drought early warningSoudanianERA5_LAND</t>
  </si>
  <si>
    <t>Drought early warningSoudanianGPM_IMERG</t>
  </si>
  <si>
    <t>Drought early warningSoudanianMERRA2</t>
  </si>
  <si>
    <t>Drought early warningSoudanianPERSIANN_CDR</t>
  </si>
  <si>
    <t>Drought early warningSoudanianTERRACLIMATE</t>
  </si>
  <si>
    <t>Flood forecasting</t>
  </si>
  <si>
    <t>Flood forecastingAll West AfricaCHIRPS</t>
  </si>
  <si>
    <t>Flood forecastingAll West AfricaERA5_LAND</t>
  </si>
  <si>
    <t>Flood forecastingAll West AfricaGPM_IMERG</t>
  </si>
  <si>
    <t>Flood forecastingAll West AfricaMERRA2</t>
  </si>
  <si>
    <t>Flood forecastingAll West AfricaPERSIANN_CDR</t>
  </si>
  <si>
    <t>Flood forecastingAll West AfricaTERRACLIMATE</t>
  </si>
  <si>
    <t>Flood forecastingGuineanCHIRPS</t>
  </si>
  <si>
    <t>Flood forecastingGuineanERA5_LAND</t>
  </si>
  <si>
    <t>Flood forecastingGuineanGPM_IMERG</t>
  </si>
  <si>
    <t>Flood forecastingGuineanMERRA2</t>
  </si>
  <si>
    <t>Flood forecastingGuineanPERSIANN_CDR</t>
  </si>
  <si>
    <t>Flood forecastingGuineanTERRACLIMATE</t>
  </si>
  <si>
    <t>Flood forecastingGuineo-CongoleanCHIRPS</t>
  </si>
  <si>
    <t>Flood forecastingGuineo-CongoleanERA5_LAND</t>
  </si>
  <si>
    <t>Flood forecastingGuineo-CongoleanGPM_IMERG</t>
  </si>
  <si>
    <t>Flood forecastingGuineo-CongoleanMERRA2</t>
  </si>
  <si>
    <t>Flood forecastingGuineo-CongoleanPERSIANN_CDR</t>
  </si>
  <si>
    <t>Flood forecastingGuineo-CongoleanTERRACLIMATE</t>
  </si>
  <si>
    <t>Flood forecastingSaharianCHIRPS</t>
  </si>
  <si>
    <t>Flood forecastingSaharianERA5_LAND</t>
  </si>
  <si>
    <t>Flood forecastingSaharianGPM_IMERG</t>
  </si>
  <si>
    <t>Flood forecastingSaharianMERRA2</t>
  </si>
  <si>
    <t>Flood forecastingSaharianPERSIANN_CDR</t>
  </si>
  <si>
    <t>Flood forecastingSaharianTERRACLIMATE</t>
  </si>
  <si>
    <t>Flood forecastingSahelianCHIRPS</t>
  </si>
  <si>
    <t>Flood forecastingSahelianERA5_LAND</t>
  </si>
  <si>
    <t>Flood forecastingSahelianGPM_IMERG</t>
  </si>
  <si>
    <t>Flood forecastingSahelianMERRA2</t>
  </si>
  <si>
    <t>Flood forecastingSahelianPERSIANN_CDR</t>
  </si>
  <si>
    <t>Flood forecastingSahelianTERRACLIMATE</t>
  </si>
  <si>
    <t>Flood forecastingSoudanianCHIRPS</t>
  </si>
  <si>
    <t>Flood forecastingSoudanianERA5_LAND</t>
  </si>
  <si>
    <t>Flood forecastingSoudanianGPM_IMERG</t>
  </si>
  <si>
    <t>Flood forecastingSoudanianMERRA2</t>
  </si>
  <si>
    <t>Flood forecastingSoudanianPERSIANN_CDR</t>
  </si>
  <si>
    <t>Flood forecastingSoudanianTERRACLIMATE</t>
  </si>
  <si>
    <t>Agricultural planning</t>
  </si>
  <si>
    <t>Agricultural planningAll West AfricaCHIRPS</t>
  </si>
  <si>
    <t>Agricultural planningAll West AfricaERA5_LAND</t>
  </si>
  <si>
    <t>Agricultural planningAll West AfricaGPM_IMERG</t>
  </si>
  <si>
    <t>Agricultural planningAll West AfricaMERRA2</t>
  </si>
  <si>
    <t>Agricultural planningAll West AfricaPERSIANN_CDR</t>
  </si>
  <si>
    <t>Agricultural planningAll West AfricaTERRACLIMATE</t>
  </si>
  <si>
    <t>Agricultural planningGuineanCHIRPS</t>
  </si>
  <si>
    <t>Agricultural planningGuineanERA5_LAND</t>
  </si>
  <si>
    <t>Agricultural planningGuineanGPM_IMERG</t>
  </si>
  <si>
    <t>Agricultural planningGuineanMERRA2</t>
  </si>
  <si>
    <t>Agricultural planningGuineanPERSIANN_CDR</t>
  </si>
  <si>
    <t>Agricultural planningGuineanTERRACLIMATE</t>
  </si>
  <si>
    <t>Agricultural planningGuineo-CongoleanCHIRPS</t>
  </si>
  <si>
    <t>Agricultural planningGuineo-CongoleanERA5_LAND</t>
  </si>
  <si>
    <t>Agricultural planningGuineo-CongoleanGPM_IMERG</t>
  </si>
  <si>
    <t>Agricultural planningGuineo-CongoleanMERRA2</t>
  </si>
  <si>
    <t>Agricultural planningGuineo-CongoleanPERSIANN_CDR</t>
  </si>
  <si>
    <t>Agricultural planningGuineo-CongoleanTERRACLIMATE</t>
  </si>
  <si>
    <t>Agricultural planningSaharianCHIRPS</t>
  </si>
  <si>
    <t>Agricultural planningSaharianERA5_LAND</t>
  </si>
  <si>
    <t>Agricultural planningSaharianGPM_IMERG</t>
  </si>
  <si>
    <t>Agricultural planningSaharianMERRA2</t>
  </si>
  <si>
    <t>Agricultural planningSaharianPERSIANN_CDR</t>
  </si>
  <si>
    <t>Agricultural planningSaharianTERRACLIMATE</t>
  </si>
  <si>
    <t>Agricultural planningSahelianCHIRPS</t>
  </si>
  <si>
    <t>Agricultural planningSahelianERA5_LAND</t>
  </si>
  <si>
    <t>Agricultural planningSahelianGPM_IMERG</t>
  </si>
  <si>
    <t>Agricultural planningSahelianMERRA2</t>
  </si>
  <si>
    <t>Agricultural planningSahelianPERSIANN_CDR</t>
  </si>
  <si>
    <t>Agricultural planningSahelianTERRACLIMATE</t>
  </si>
  <si>
    <t>Agricultural planningSoudanianCHIRPS</t>
  </si>
  <si>
    <t>Agricultural planningSoudanianERA5_LAND</t>
  </si>
  <si>
    <t>Agricultural planningSoudanianGPM_IMERG</t>
  </si>
  <si>
    <t>Agricultural planningSoudanianMERRA2</t>
  </si>
  <si>
    <t>Agricultural planningSoudanianPERSIANN_CDR</t>
  </si>
  <si>
    <t>Agricultural planningSoudanianTERRACLIMATE</t>
  </si>
  <si>
    <t>Hydrological modelling</t>
  </si>
  <si>
    <t>Hydrological modellingAll West AfricaCHIRPS</t>
  </si>
  <si>
    <t>Hydrological modellingAll West AfricaERA5_LAND</t>
  </si>
  <si>
    <t>Hydrological modellingAll West AfricaGPM_IMERG</t>
  </si>
  <si>
    <t>Hydrological modellingAll West AfricaMERRA2</t>
  </si>
  <si>
    <t>Hydrological modellingAll West AfricaPERSIANN_CDR</t>
  </si>
  <si>
    <t>Hydrological modellingAll West AfricaTERRACLIMATE</t>
  </si>
  <si>
    <t>Hydrological modellingGuineanCHIRPS</t>
  </si>
  <si>
    <t>Hydrological modellingGuineanERA5_LAND</t>
  </si>
  <si>
    <t>Hydrological modellingGuineanGPM_IMERG</t>
  </si>
  <si>
    <t>Hydrological modellingGuineanMERRA2</t>
  </si>
  <si>
    <t>Hydrological modellingGuineanPERSIANN_CDR</t>
  </si>
  <si>
    <t>Hydrological modellingGuineanTERRACLIMATE</t>
  </si>
  <si>
    <t>Hydrological modellingGuineo-CongoleanCHIRPS</t>
  </si>
  <si>
    <t>Hydrological modellingGuineo-CongoleanERA5_LAND</t>
  </si>
  <si>
    <t>Hydrological modellingGuineo-CongoleanGPM_IMERG</t>
  </si>
  <si>
    <t>Hydrological modellingGuineo-CongoleanMERRA2</t>
  </si>
  <si>
    <t>Hydrological modellingGuineo-CongoleanPERSIANN_CDR</t>
  </si>
  <si>
    <t>Hydrological modellingGuineo-CongoleanTERRACLIMATE</t>
  </si>
  <si>
    <t>Hydrological modellingSaharianCHIRPS</t>
  </si>
  <si>
    <t>Hydrological modellingSaharianERA5_LAND</t>
  </si>
  <si>
    <t>Hydrological modellingSaharianGPM_IMERG</t>
  </si>
  <si>
    <t>Hydrological modellingSaharianMERRA2</t>
  </si>
  <si>
    <t>Hydrological modellingSaharianPERSIANN_CDR</t>
  </si>
  <si>
    <t>Hydrological modellingSaharianTERRACLIMATE</t>
  </si>
  <si>
    <t>Hydrological modellingSahelianCHIRPS</t>
  </si>
  <si>
    <t>Hydrological modellingSahelianERA5_LAND</t>
  </si>
  <si>
    <t>Hydrological modellingSahelianGPM_IMERG</t>
  </si>
  <si>
    <t>Hydrological modellingSahelianMERRA2</t>
  </si>
  <si>
    <t>Hydrological modellingSahelianPERSIANN_CDR</t>
  </si>
  <si>
    <t>Hydrological modellingSahelianTERRACLIMATE</t>
  </si>
  <si>
    <t>Hydrological modellingSoudanianCHIRPS</t>
  </si>
  <si>
    <t>Hydrological modellingSoudanianERA5_LAND</t>
  </si>
  <si>
    <t>Hydrological modellingSoudanianGPM_IMERG</t>
  </si>
  <si>
    <t>Hydrological modellingSoudanianMERRA2</t>
  </si>
  <si>
    <t>Hydrological modellingSoudanianPERSIANN_CDR</t>
  </si>
  <si>
    <t>Hydrological modellingSoudanianTERRACLIMATE</t>
  </si>
  <si>
    <t>Climate trend analysis</t>
  </si>
  <si>
    <t>Climate trend analysisAll West AfricaCHIRPS</t>
  </si>
  <si>
    <t>Climate trend analysisAll West AfricaERA5_LAND</t>
  </si>
  <si>
    <t>Climate trend analysisAll West AfricaGPM_IMERG</t>
  </si>
  <si>
    <t>Climate trend analysisAll West AfricaMERRA2</t>
  </si>
  <si>
    <t>Climate trend analysisAll West AfricaPERSIANN_CDR</t>
  </si>
  <si>
    <t>Climate trend analysisAll West AfricaTERRACLIMATE</t>
  </si>
  <si>
    <t>Climate trend analysisGuineanCHIRPS</t>
  </si>
  <si>
    <t>Climate trend analysisGuineanERA5_LAND</t>
  </si>
  <si>
    <t>Climate trend analysisGuineanGPM_IMERG</t>
  </si>
  <si>
    <t>Climate trend analysisGuineanMERRA2</t>
  </si>
  <si>
    <t>Climate trend analysisGuineanPERSIANN_CDR</t>
  </si>
  <si>
    <t>Climate trend analysisGuineanTERRACLIMATE</t>
  </si>
  <si>
    <t>Climate trend analysisGuineo-CongoleanCHIRPS</t>
  </si>
  <si>
    <t>Climate trend analysisGuineo-CongoleanERA5_LAND</t>
  </si>
  <si>
    <t>Climate trend analysisGuineo-CongoleanGPM_IMERG</t>
  </si>
  <si>
    <t>Climate trend analysisGuineo-CongoleanMERRA2</t>
  </si>
  <si>
    <t>Climate trend analysisGuineo-CongoleanPERSIANN_CDR</t>
  </si>
  <si>
    <t>Climate trend analysisGuineo-CongoleanTERRACLIMATE</t>
  </si>
  <si>
    <t>Climate trend analysisSaharianCHIRPS</t>
  </si>
  <si>
    <t>Climate trend analysisSaharianERA5_LAND</t>
  </si>
  <si>
    <t>Climate trend analysisSaharianGPM_IMERG</t>
  </si>
  <si>
    <t>Climate trend analysisSaharianMERRA2</t>
  </si>
  <si>
    <t>Climate trend analysisSaharianPERSIANN_CDR</t>
  </si>
  <si>
    <t>Climate trend analysisSaharianTERRACLIMATE</t>
  </si>
  <si>
    <t>Climate trend analysisSahelianCHIRPS</t>
  </si>
  <si>
    <t>Climate trend analysisSahelianERA5_LAND</t>
  </si>
  <si>
    <t>Climate trend analysisSahelianGPM_IMERG</t>
  </si>
  <si>
    <t>Climate trend analysisSahelianMERRA2</t>
  </si>
  <si>
    <t>Climate trend analysisSahelianPERSIANN_CDR</t>
  </si>
  <si>
    <t>Climate trend analysisSahelianTERRACLIMATE</t>
  </si>
  <si>
    <t>Climate trend analysisSoudanianCHIRPS</t>
  </si>
  <si>
    <t>Climate trend analysisSoudanianERA5_LAND</t>
  </si>
  <si>
    <t>Climate trend analysisSoudanianGPM_IMERG</t>
  </si>
  <si>
    <t>Climate trend analysisSoudanianMERRA2</t>
  </si>
  <si>
    <t>Climate trend analysisSoudanianPERSIANN_CDR</t>
  </si>
  <si>
    <t>Climate trend analysisSoudanianTERRACLIMATE</t>
  </si>
  <si>
    <t>Application</t>
  </si>
  <si>
    <t>Primary focus</t>
  </si>
  <si>
    <t>FAR critical — false rain forecast = unpreparedness</t>
  </si>
  <si>
    <t>KGE + r — habitat depends on magnitude and seasonal pattern</t>
  </si>
  <si>
    <t>POD critical — missed dry spell = missed intervention</t>
  </si>
  <si>
    <t>CSI + POD — capturing extreme events matters most</t>
  </si>
  <si>
    <t>r + KGE — seasonal onset and totals equally important</t>
  </si>
  <si>
    <t>KGE + NSE — standard water balance benchmarks</t>
  </si>
  <si>
    <t>r + NSE — temporal consistency over absolute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</si>
</sst>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A1A2E"/>
      <name val="Arial"/>
    </font>
    <font>
      <sz val="9"/>
      <color rgb="FF6B7280"/>
      <name val="Arial"/>
    </font>
    <font>
      <b/>
      <sz val="9"/>
      <color rgb="FF1F77B4"/>
      <name val="Arial"/>
    </font>
    <font>
      <b/>
      <sz val="9"/>
      <color rgb="FF9467BD"/>
      <name val="Arial"/>
    </font>
    <font>
      <b/>
      <sz val="9"/>
      <color rgb="FFD62728"/>
      <name val="Arial"/>
    </font>
    <font>
      <b/>
      <sz val="9"/>
      <color rgb="FFE377C2"/>
      <name val="Arial"/>
    </font>
    <font>
      <b/>
      <sz val="9"/>
      <color rgb="FFFF7F0E"/>
      <name val="Arial"/>
    </font>
    <font>
      <b/>
      <sz val="9"/>
      <color rgb="FF17BECF"/>
      <name val="Arial"/>
    </font>
    <font>
      <b/>
      <sz val="10"/>
      <color rgb="FF1A1A2E"/>
      <name val="Arial"/>
    </font>
    <font>
      <sz val="10"/>
      <color rgb="FF1A1A2E"/>
      <name val="Arial"/>
    </font>
    <font>
      <i/>
      <sz val="9"/>
      <color rgb="FF6B7280"/>
      <name val="Arial"/>
    </font>
    <font>
      <b/>
      <sz val="15"/>
      <color rgb="FFFFFFFF"/>
      <name val="Arial"/>
    </font>
    <font>
      <i/>
      <sz val="10"/>
      <color rgb="FFAAAAAA"/>
      <name val="Arial"/>
    </font>
    <font>
      <b/>
      <sz val="11"/>
      <color rgb="FFFFFFFF"/>
      <name val="Arial"/>
    </font>
    <font>
      <b/>
      <sz val="9"/>
      <color rgb="FF6B7280"/>
      <name val="Arial"/>
    </font>
    <font>
      <b/>
      <sz val="11"/>
      <color rgb="FF1C2D40"/>
      <name val="Arial"/>
    </font>
    <font>
      <b/>
      <sz val="11"/>
      <color rgb="FF1D9E75"/>
      <name val="Arial"/>
    </font>
    <font>
      <i/>
      <sz val="10"/>
      <color rgb="FFEF9F27"/>
      <name val="Arial"/>
    </font>
    <font>
      <b/>
      <sz val="13"/>
      <color rgb="FF1C2D40"/>
      <name val="Arial"/>
    </font>
    <font>
      <b/>
      <sz val="11"/>
      <color rgb="FF1F77B4"/>
      <name val="Arial"/>
    </font>
    <font>
      <sz val="10"/>
      <color rgb="FFC0392B"/>
      <name val="Arial"/>
    </font>
    <font>
      <b/>
      <sz val="11"/>
      <color rgb="FF9467BD"/>
      <name val="Arial"/>
    </font>
    <font>
      <b/>
      <sz val="11"/>
      <color rgb="FFD62728"/>
      <name val="Arial"/>
    </font>
    <font>
      <b/>
      <sz val="11"/>
      <color rgb="FFE377C2"/>
      <name val="Arial"/>
    </font>
    <font>
      <b/>
      <sz val="11"/>
      <color rgb="FFFF7F0E"/>
      <name val="Arial"/>
    </font>
    <font>
      <b/>
      <sz val="11"/>
      <color rgb="FF17BECF"/>
      <name val="Arial"/>
    </font>
    <font>
      <b/>
      <sz val="10"/>
      <color rgb="FFFFFFFF"/>
      <name val="Arial"/>
    </font>
    <font>
      <b/>
      <sz val="10"/>
      <color rgb="FF1F77B4"/>
      <name val="Arial"/>
    </font>
    <font>
      <b/>
      <sz val="10"/>
      <color rgb="FF9467BD"/>
      <name val="Arial"/>
    </font>
    <font>
      <b/>
      <sz val="10"/>
      <color rgb="FFD62728"/>
      <name val="Arial"/>
    </font>
    <font>
      <b/>
      <sz val="10"/>
      <color rgb="FFE377C2"/>
      <name val="Arial"/>
    </font>
    <font>
      <b/>
      <sz val="10"/>
      <color rgb="FFFF7F0E"/>
      <name val="Arial"/>
    </font>
    <font>
      <b/>
      <sz val="10"/>
      <color rgb="FF17BECF"/>
      <name val="Arial"/>
    </font>
    <font>
      <b/>
      <sz val="14"/>
      <color rgb="FFFFFFFF"/>
      <name val="Arial"/>
    </font>
    <font>
      <b/>
      <sz val="10"/>
      <color rgb="FF1C2D40"/>
      <name val="Arial"/>
    </font>
    <font>
      <sz val="10"/>
      <color rgb="FF1D9E75"/>
      <name val="Arial"/>
    </font>
  </fonts>
  <fills count="13">
    <fill>
      <patternFill patternType="none"/>
    </fill>
    <fill>
      <patternFill patternType="gray125"/>
    </fill>
    <fill>
      <patternFill patternType="solid">
        <fgColor rgb="FF1C2D40"/>
      </patternFill>
    </fill>
    <fill>
      <patternFill patternType="solid">
        <fgColor rgb="FFC8A96E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E8A838"/>
      </patternFill>
    </fill>
    <fill>
      <patternFill patternType="solid">
        <fgColor rgb="FFCC6600"/>
      </patternFill>
    </fill>
    <fill>
      <patternFill patternType="solid">
        <fgColor rgb="FF78C850"/>
      </patternFill>
    </fill>
    <fill>
      <patternFill patternType="solid">
        <fgColor rgb="FF1A6B1A"/>
      </patternFill>
    </fill>
    <fill>
      <patternFill patternType="solid">
        <fgColor rgb="FF185FA5"/>
      </patternFill>
    </fill>
    <fill>
      <patternFill patternType="solid">
        <fgColor rgb="FF2E4057"/>
      </patternFill>
    </fill>
    <fill>
      <patternFill patternType="solid">
        <fgColor rgb="FFFFFBF0"/>
      </patternFill>
    </fill>
  </fills>
  <borders count="3">
    <border>
      <left/>
      <right/>
      <top/>
      <bottom/>
      <diagonal/>
    </border>
    <border>
      <left style="medium">
        <color rgb="FF1D9E75"/>
      </left>
      <right style="medium">
        <color rgb="FF1D9E75"/>
      </right>
      <top style="medium">
        <color rgb="FF1D9E75"/>
      </top>
      <bottom style="medium">
        <color rgb="FF1D9E75"/>
      </bottom>
      <diagonal/>
    </border>
    <border>
      <left style="medium">
        <color rgb="FF378ADD"/>
      </left>
      <right style="medium">
        <color rgb="FF378ADD"/>
      </right>
      <top style="medium">
        <color rgb="FF378ADD"/>
      </top>
      <bottom style="medium">
        <color rgb="FF378ADD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6" fillId="4" borderId="0" xfId="0" applyFont="1" applyFill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28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165" fontId="36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165" fontId="36" fillId="5" borderId="0" xfId="0" applyNumberFormat="1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18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165" fontId="18" fillId="4" borderId="0" xfId="0" applyNumberFormat="1" applyFont="1" applyFill="1" applyAlignment="1">
      <alignment horizontal="center" vertical="center"/>
    </xf>
    <xf numFmtId="165" fontId="11" fillId="4" borderId="0" xfId="0" applyNumberFormat="1" applyFont="1" applyFill="1" applyAlignment="1">
      <alignment horizontal="center" vertical="center"/>
    </xf>
    <xf numFmtId="165" fontId="22" fillId="4" borderId="0" xfId="0" applyNumberFormat="1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165" fontId="18" fillId="5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165" fontId="22" fillId="5" borderId="0" xfId="0" applyNumberFormat="1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 wrapText="1" indent="1"/>
    </xf>
    <xf numFmtId="0" fontId="28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 wrapText="1" indent="1"/>
    </xf>
    <xf numFmtId="0" fontId="28" fillId="7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left" vertical="center" wrapText="1" indent="1"/>
    </xf>
    <xf numFmtId="0" fontId="36" fillId="5" borderId="0" xfId="0" applyFont="1" applyFill="1" applyAlignment="1">
      <alignment horizontal="left" vertical="center" indent="1"/>
    </xf>
    <xf numFmtId="0" fontId="36" fillId="4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3" fillId="4" borderId="0" xfId="0" applyFont="1" applyFill="1"/>
    <xf numFmtId="0" fontId="3" fillId="5" borderId="0" xfId="0" applyFont="1" applyFill="1"/>
    <xf numFmtId="0" fontId="10" fillId="4" borderId="0" xfId="0" applyFont="1" applyFill="1" applyAlignment="1">
      <alignment horizontal="left" vertical="center"/>
    </xf>
    <xf numFmtId="9" fontId="11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9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28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 indent="1"/>
    </xf>
    <xf numFmtId="0" fontId="15" fillId="11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wrapText="1" indent="1"/>
    </xf>
    <xf numFmtId="0" fontId="14" fillId="1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left" vertical="center" wrapText="1" indent="1"/>
    </xf>
    <xf numFmtId="0" fontId="12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8ADD"/>
  </sheetPr>
  <dimension ref="B1:F21"/>
  <sheetViews>
    <sheetView showGridLines="0" workbookViewId="0">
      <selection activeCell="C4" sqref="C4"/>
    </sheetView>
  </sheetViews>
  <sheetFormatPr defaultRowHeight="14.5" x14ac:dyDescent="0.35"/>
  <cols>
    <col min="1" max="1" width="2" customWidth="1"/>
    <col min="2" max="2" width="30" customWidth="1"/>
    <col min="3" max="3" width="12" customWidth="1"/>
    <col min="4" max="5" width="10" customWidth="1"/>
    <col min="6" max="6" width="36" customWidth="1"/>
  </cols>
  <sheetData>
    <row r="1" spans="2:6" ht="6" customHeight="1" x14ac:dyDescent="0.35"/>
    <row r="2" spans="2:6" ht="30" customHeight="1" x14ac:dyDescent="0.35">
      <c r="B2" s="78" t="s">
        <v>0</v>
      </c>
      <c r="C2" s="75"/>
      <c r="D2" s="75"/>
      <c r="E2" s="75"/>
      <c r="F2" s="75"/>
    </row>
    <row r="3" spans="2:6" ht="18" customHeight="1" x14ac:dyDescent="0.35">
      <c r="B3" s="1" t="s">
        <v>1</v>
      </c>
      <c r="C3" s="1" t="s">
        <v>2</v>
      </c>
    </row>
    <row r="4" spans="2:6" ht="26" customHeight="1" x14ac:dyDescent="0.35">
      <c r="B4" s="2" t="s">
        <v>73</v>
      </c>
      <c r="C4" s="2" t="s">
        <v>62</v>
      </c>
    </row>
    <row r="5" spans="2:6" ht="10" customHeight="1" x14ac:dyDescent="0.35"/>
    <row r="6" spans="2:6" ht="22" customHeight="1" x14ac:dyDescent="0.35">
      <c r="B6" s="76" t="s">
        <v>5</v>
      </c>
      <c r="C6" s="75"/>
      <c r="D6" s="75"/>
      <c r="E6" s="75"/>
      <c r="F6" s="75"/>
    </row>
    <row r="7" spans="2:6" ht="24" customHeight="1" x14ac:dyDescent="0.35">
      <c r="B7" s="4" t="s">
        <v>6</v>
      </c>
      <c r="C7" s="1" t="s">
        <v>7</v>
      </c>
      <c r="D7" s="1" t="s">
        <v>8</v>
      </c>
      <c r="E7" s="77" t="s">
        <v>9</v>
      </c>
      <c r="F7" s="75"/>
    </row>
    <row r="8" spans="2:6" ht="24" customHeight="1" x14ac:dyDescent="0.35">
      <c r="B8" s="5" t="s">
        <v>10</v>
      </c>
      <c r="C8" s="6">
        <f>IFERROR(INDEX(DATA_by_zone!$M:$M,MATCH($B$4&amp;$C$4,DATA_by_zone!$W:$W,0)),"-")</f>
        <v>0.80310000000000004</v>
      </c>
      <c r="D8" s="7" t="s">
        <v>11</v>
      </c>
      <c r="E8" s="74" t="s">
        <v>12</v>
      </c>
      <c r="F8" s="75"/>
    </row>
    <row r="9" spans="2:6" ht="24" customHeight="1" x14ac:dyDescent="0.35">
      <c r="B9" s="8" t="s">
        <v>13</v>
      </c>
      <c r="C9" s="9">
        <f>IFERROR(INDEX(DATA_by_zone!$J:$J,MATCH($B$4&amp;$C$4,DATA_by_zone!$W:$W,0)),"-")</f>
        <v>0.8327</v>
      </c>
      <c r="D9" s="10" t="s">
        <v>11</v>
      </c>
      <c r="E9" s="79" t="s">
        <v>14</v>
      </c>
      <c r="F9" s="75"/>
    </row>
    <row r="10" spans="2:6" ht="24" customHeight="1" x14ac:dyDescent="0.35">
      <c r="B10" s="5" t="s">
        <v>15</v>
      </c>
      <c r="C10" s="6">
        <f>IFERROR(INDEX(DATA_by_zone!$L:$L,MATCH($B$4&amp;$C$4,DATA_by_zone!$W:$W,0)),"-")</f>
        <v>0.67779999999999996</v>
      </c>
      <c r="D10" s="7" t="s">
        <v>11</v>
      </c>
      <c r="E10" s="74" t="s">
        <v>16</v>
      </c>
      <c r="F10" s="75"/>
    </row>
    <row r="11" spans="2:6" ht="24" customHeight="1" x14ac:dyDescent="0.35">
      <c r="B11" s="8" t="s">
        <v>17</v>
      </c>
      <c r="C11" s="9">
        <f>IFERROR(INDEX(DATA_by_zone!$F:$F,MATCH($B$4&amp;$C$4,DATA_by_zone!$W:$W,0)),"-")</f>
        <v>0.22700000000000001</v>
      </c>
      <c r="D11" s="10" t="s">
        <v>18</v>
      </c>
      <c r="E11" s="79" t="s">
        <v>19</v>
      </c>
      <c r="F11" s="75"/>
    </row>
    <row r="12" spans="2:6" ht="24" customHeight="1" x14ac:dyDescent="0.35">
      <c r="B12" s="5" t="s">
        <v>20</v>
      </c>
      <c r="C12" s="6">
        <f>IFERROR(INDEX(DATA_by_zone!$G:$G,MATCH($B$4&amp;$C$4,DATA_by_zone!$W:$W,0)),"-")</f>
        <v>7.02</v>
      </c>
      <c r="D12" s="7" t="s">
        <v>21</v>
      </c>
      <c r="E12" s="74" t="s">
        <v>22</v>
      </c>
      <c r="F12" s="75"/>
    </row>
    <row r="13" spans="2:6" ht="24" customHeight="1" x14ac:dyDescent="0.35">
      <c r="B13" s="8" t="s">
        <v>23</v>
      </c>
      <c r="C13" s="9">
        <f>IFERROR(INDEX(DATA_by_zone!$H:$H,MATCH($B$4&amp;$C$4,DATA_by_zone!$W:$W,0)),"-")</f>
        <v>1.0680000000000001</v>
      </c>
      <c r="D13" s="10" t="s">
        <v>18</v>
      </c>
      <c r="E13" s="79" t="s">
        <v>24</v>
      </c>
      <c r="F13" s="75"/>
    </row>
    <row r="14" spans="2:6" ht="24" customHeight="1" x14ac:dyDescent="0.35">
      <c r="B14" s="5" t="s">
        <v>25</v>
      </c>
      <c r="C14" s="6">
        <f>IFERROR(INDEX(DATA_by_zone!$I:$I,MATCH($B$4&amp;$C$4,DATA_by_zone!$W:$W,0)),"-")</f>
        <v>1.5129999999999999</v>
      </c>
      <c r="D14" s="7" t="s">
        <v>18</v>
      </c>
      <c r="E14" s="74" t="s">
        <v>26</v>
      </c>
      <c r="F14" s="75"/>
    </row>
    <row r="15" spans="2:6" ht="22" customHeight="1" x14ac:dyDescent="0.35">
      <c r="B15" s="76" t="s">
        <v>27</v>
      </c>
      <c r="C15" s="75"/>
      <c r="D15" s="75"/>
      <c r="E15" s="75"/>
      <c r="F15" s="75"/>
    </row>
    <row r="16" spans="2:6" ht="24" customHeight="1" x14ac:dyDescent="0.35">
      <c r="B16" s="4" t="s">
        <v>6</v>
      </c>
      <c r="C16" s="1" t="s">
        <v>7</v>
      </c>
      <c r="D16" s="1" t="s">
        <v>8</v>
      </c>
      <c r="E16" s="77" t="s">
        <v>9</v>
      </c>
      <c r="F16" s="75"/>
    </row>
    <row r="17" spans="2:6" ht="24" customHeight="1" x14ac:dyDescent="0.35">
      <c r="B17" s="8" t="s">
        <v>28</v>
      </c>
      <c r="C17" s="9">
        <f>IFERROR(INDEX(DATA_by_zone!$N:$N,MATCH($B$4&amp;$C$4,DATA_by_zone!$W:$W,0)),"-")</f>
        <v>0.95699999999999996</v>
      </c>
      <c r="D17" s="10" t="s">
        <v>11</v>
      </c>
      <c r="E17" s="79" t="s">
        <v>29</v>
      </c>
      <c r="F17" s="75"/>
    </row>
    <row r="18" spans="2:6" ht="24" customHeight="1" x14ac:dyDescent="0.35">
      <c r="B18" s="5" t="s">
        <v>30</v>
      </c>
      <c r="C18" s="6">
        <f>IFERROR(INDEX(DATA_by_zone!$O:$O,MATCH($B$4&amp;$C$4,DATA_by_zone!$W:$W,0)),"-")</f>
        <v>9.2899999999999996E-2</v>
      </c>
      <c r="D18" s="7" t="s">
        <v>18</v>
      </c>
      <c r="E18" s="74" t="s">
        <v>31</v>
      </c>
      <c r="F18" s="75"/>
    </row>
    <row r="19" spans="2:6" ht="24" customHeight="1" x14ac:dyDescent="0.35">
      <c r="B19" s="8" t="s">
        <v>32</v>
      </c>
      <c r="C19" s="9">
        <f>IFERROR(INDEX(DATA_by_zone!$P:$P,MATCH($B$4&amp;$C$4,DATA_by_zone!$W:$W,0)),"-")</f>
        <v>0.87160000000000004</v>
      </c>
      <c r="D19" s="10" t="s">
        <v>11</v>
      </c>
      <c r="E19" s="79" t="s">
        <v>33</v>
      </c>
      <c r="F19" s="75"/>
    </row>
    <row r="20" spans="2:6" ht="24" customHeight="1" x14ac:dyDescent="0.35">
      <c r="B20" s="5" t="s">
        <v>34</v>
      </c>
      <c r="C20" s="6">
        <f>IFERROR(INDEX(DATA_by_zone!$Q:$Q,MATCH($B$4&amp;$C$4,DATA_by_zone!$W:$W,0)),"-")</f>
        <v>0.49530000000000002</v>
      </c>
      <c r="D20" s="7" t="s">
        <v>11</v>
      </c>
      <c r="E20" s="74" t="s">
        <v>35</v>
      </c>
      <c r="F20" s="75"/>
    </row>
    <row r="21" spans="2:6" ht="24" customHeight="1" x14ac:dyDescent="0.35">
      <c r="B21" s="8" t="s">
        <v>36</v>
      </c>
      <c r="C21" s="9">
        <f>IFERROR(INDEX(DATA_by_zone!$R:$R,MATCH($B$4&amp;$C$4,DATA_by_zone!$W:$W,0)),"-")</f>
        <v>1.0549999999999999</v>
      </c>
      <c r="D21" s="10" t="s">
        <v>11</v>
      </c>
      <c r="E21" s="79" t="s">
        <v>37</v>
      </c>
      <c r="F21" s="75"/>
    </row>
  </sheetData>
  <mergeCells count="17">
    <mergeCell ref="E21:F21"/>
    <mergeCell ref="E12:F12"/>
    <mergeCell ref="E20:F20"/>
    <mergeCell ref="B6:F6"/>
    <mergeCell ref="E16:F16"/>
    <mergeCell ref="B2:F2"/>
    <mergeCell ref="E7:F7"/>
    <mergeCell ref="E10:F10"/>
    <mergeCell ref="B15:F15"/>
    <mergeCell ref="E18:F18"/>
    <mergeCell ref="E19:F19"/>
    <mergeCell ref="E11:F11"/>
    <mergeCell ref="E13:F13"/>
    <mergeCell ref="E14:F14"/>
    <mergeCell ref="E17:F17"/>
    <mergeCell ref="E9:F9"/>
    <mergeCell ref="E8:F8"/>
  </mergeCells>
  <dataValidations count="2">
    <dataValidation type="list" sqref="B4" xr:uid="{00000000-0002-0000-0000-000000000000}">
      <formula1>"Saharian,Sahelian,Soudanian,Guinean,Guineo-Congolean,All West Africa"</formula1>
    </dataValidation>
    <dataValidation type="list" sqref="C4" xr:uid="{00000000-0002-0000-0000-000001000000}">
      <formula1>"CHIRPS,ERA5_LAND,GPM_IMERG,MERRA2,PERSIANN_CDR,TERRACLIMATE"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9E75"/>
  </sheetPr>
  <dimension ref="B1:L41"/>
  <sheetViews>
    <sheetView showGridLines="0" tabSelected="1" topLeftCell="A7" zoomScale="90" workbookViewId="0">
      <selection activeCell="B7" sqref="B7"/>
    </sheetView>
  </sheetViews>
  <sheetFormatPr defaultRowHeight="14.5" x14ac:dyDescent="0.35"/>
  <cols>
    <col min="1" max="1" width="2" customWidth="1"/>
    <col min="2" max="2" width="24" customWidth="1"/>
    <col min="3" max="3" width="20" customWidth="1"/>
    <col min="4" max="5" width="11" customWidth="1"/>
    <col min="6" max="12" width="10" customWidth="1"/>
    <col min="13" max="13" width="3" customWidth="1"/>
  </cols>
  <sheetData>
    <row r="1" spans="2:12" ht="6" customHeight="1" x14ac:dyDescent="0.35"/>
    <row r="2" spans="2:12" ht="34" customHeight="1" x14ac:dyDescent="0.35">
      <c r="B2" s="84" t="s">
        <v>38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2:12" ht="18" customHeight="1" x14ac:dyDescent="0.35">
      <c r="B3" s="83" t="s">
        <v>39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2:12" ht="8" customHeight="1" x14ac:dyDescent="0.35"/>
    <row r="5" spans="2:12" ht="22" customHeight="1" x14ac:dyDescent="0.35">
      <c r="B5" s="81" t="s">
        <v>40</v>
      </c>
      <c r="C5" s="75"/>
      <c r="D5" s="75"/>
      <c r="E5" s="75"/>
      <c r="F5" s="75"/>
      <c r="G5" s="75"/>
      <c r="H5" s="75"/>
      <c r="I5" s="75"/>
      <c r="J5" s="75"/>
      <c r="K5" s="75"/>
    </row>
    <row r="6" spans="2:12" ht="18" customHeight="1" x14ac:dyDescent="0.35">
      <c r="B6" s="1" t="s">
        <v>41</v>
      </c>
      <c r="C6" s="1" t="s">
        <v>42</v>
      </c>
      <c r="D6" s="1" t="s">
        <v>43</v>
      </c>
      <c r="E6" s="1" t="s">
        <v>44</v>
      </c>
    </row>
    <row r="7" spans="2:12" ht="28" customHeight="1" x14ac:dyDescent="0.35">
      <c r="B7" s="11" t="s">
        <v>45</v>
      </c>
      <c r="C7" s="11" t="s">
        <v>3</v>
      </c>
      <c r="D7" s="11" t="s">
        <v>11</v>
      </c>
      <c r="E7" s="11" t="s">
        <v>46</v>
      </c>
    </row>
    <row r="8" spans="2:12" ht="8" customHeight="1" x14ac:dyDescent="0.35"/>
    <row r="9" spans="2:12" ht="20" customHeight="1" x14ac:dyDescent="0.35">
      <c r="B9" s="86" t="s">
        <v>47</v>
      </c>
      <c r="C9" s="75"/>
      <c r="D9" s="75"/>
      <c r="E9" s="75"/>
      <c r="F9" s="75"/>
      <c r="G9" s="75"/>
      <c r="H9" s="75"/>
      <c r="I9" s="75"/>
      <c r="J9" s="75"/>
      <c r="K9" s="75"/>
      <c r="L9" s="75"/>
    </row>
    <row r="10" spans="2:12" ht="8" customHeight="1" x14ac:dyDescent="0.35"/>
    <row r="11" spans="2:12" ht="22" customHeight="1" x14ac:dyDescent="0.35">
      <c r="B11" s="81" t="s">
        <v>48</v>
      </c>
      <c r="C11" s="75"/>
      <c r="D11" s="75"/>
      <c r="E11" s="75"/>
      <c r="F11" s="75"/>
      <c r="G11" s="75"/>
      <c r="H11" s="75"/>
      <c r="I11" s="75"/>
      <c r="J11" s="75"/>
      <c r="K11" s="75"/>
    </row>
    <row r="12" spans="2:12" ht="18" customHeight="1" x14ac:dyDescent="0.35">
      <c r="B12" s="12" t="s">
        <v>49</v>
      </c>
      <c r="C12" s="12" t="s">
        <v>50</v>
      </c>
      <c r="D12" s="12" t="s">
        <v>51</v>
      </c>
      <c r="E12" s="12" t="s">
        <v>52</v>
      </c>
      <c r="F12" s="12" t="s">
        <v>53</v>
      </c>
      <c r="G12" s="12" t="s">
        <v>54</v>
      </c>
      <c r="H12" s="12" t="s">
        <v>55</v>
      </c>
    </row>
    <row r="13" spans="2:12" ht="22" customHeight="1" x14ac:dyDescent="0.35">
      <c r="B13" s="13">
        <f>IFERROR(INDEX(APP_WEIGHTS!$B:$B,MATCH($B$7,APP_WEIGHTS!$A:$A,0)),"")</f>
        <v>0.1</v>
      </c>
      <c r="C13" s="13">
        <f>IFERROR(INDEX(APP_WEIGHTS!$C:$C,MATCH($B$7,APP_WEIGHTS!$A:$A,0)),"")</f>
        <v>0.2</v>
      </c>
      <c r="D13" s="13">
        <f>IFERROR(INDEX(APP_WEIGHTS!$D:$D,MATCH($B$7,APP_WEIGHTS!$A:$A,0)),"")</f>
        <v>0.05</v>
      </c>
      <c r="E13" s="13">
        <f>IFERROR(INDEX(APP_WEIGHTS!$E:$E,MATCH($B$7,APP_WEIGHTS!$A:$A,0)),"")</f>
        <v>0.15</v>
      </c>
      <c r="F13" s="13">
        <f>IFERROR(INDEX(APP_WEIGHTS!$F:$F,MATCH($B$7,APP_WEIGHTS!$A:$A,0)),"")</f>
        <v>0.3</v>
      </c>
      <c r="G13" s="13">
        <f>IFERROR(INDEX(APP_WEIGHTS!$G:$G,MATCH($B$7,APP_WEIGHTS!$A:$A,0)),"")</f>
        <v>0.15</v>
      </c>
      <c r="H13" s="13">
        <f>IFERROR(INDEX(APP_WEIGHTS!$H:$H,MATCH($B$7,APP_WEIGHTS!$A:$A,0)),"")</f>
        <v>0.05</v>
      </c>
    </row>
    <row r="14" spans="2:12" ht="22" customHeight="1" x14ac:dyDescent="0.35">
      <c r="B14" s="85" t="str">
        <f>IFERROR(INDEX(APP_WEIGHTS!$I:$I,MATCH($B$7,APP_WEIGHTS!$A:$A,0)),"")</f>
        <v>FAR critical — false rain forecast = unpreparedness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</row>
    <row r="15" spans="2:12" ht="8" customHeight="1" x14ac:dyDescent="0.35"/>
    <row r="16" spans="2:12" ht="22" customHeight="1" x14ac:dyDescent="0.35">
      <c r="B16" s="81" t="s">
        <v>56</v>
      </c>
      <c r="C16" s="75"/>
      <c r="D16" s="75"/>
      <c r="E16" s="75"/>
      <c r="F16" s="75"/>
      <c r="G16" s="75"/>
      <c r="H16" s="75"/>
      <c r="I16" s="75"/>
      <c r="J16" s="75"/>
      <c r="K16" s="75"/>
    </row>
    <row r="17" spans="2:12" ht="28" customHeight="1" x14ac:dyDescent="0.35">
      <c r="B17" s="14" t="s">
        <v>57</v>
      </c>
      <c r="C17" s="14" t="s">
        <v>2</v>
      </c>
      <c r="D17" s="14" t="s">
        <v>58</v>
      </c>
      <c r="E17" s="14" t="s">
        <v>49</v>
      </c>
      <c r="F17" s="14" t="s">
        <v>50</v>
      </c>
      <c r="G17" s="14" t="s">
        <v>52</v>
      </c>
      <c r="H17" s="14" t="s">
        <v>53</v>
      </c>
      <c r="I17" s="14" t="s">
        <v>54</v>
      </c>
      <c r="J17" s="14" t="s">
        <v>51</v>
      </c>
      <c r="K17" s="14" t="s">
        <v>59</v>
      </c>
    </row>
    <row r="18" spans="2:12" ht="24" customHeight="1" x14ac:dyDescent="0.35">
      <c r="B18" s="15">
        <f t="shared" ref="B18:B23" si="0">IF(D18=0,"",RANK(D18,$D$18:$D$23,0))</f>
        <v>2</v>
      </c>
      <c r="C18" s="16" t="s">
        <v>4</v>
      </c>
      <c r="D18" s="17">
        <f>IFERROR(INDEX(SCORES!$D:$D,MATCH($B$7&amp;$C$7&amp;"CHIRPS",SCORES!$E:$E,0)),0)</f>
        <v>0.93479999999999996</v>
      </c>
      <c r="E18" s="18">
        <f>IFERROR(INDEX(DATA_by_zone!$M:$M,MATCH($C$7&amp;"CHIRPS",DATA_by_zone!$W:$W,0)),"-")</f>
        <v>0.85670000000000002</v>
      </c>
      <c r="F18" s="18">
        <f>IFERROR(INDEX(DATA_by_zone!$J:$J,MATCH($C$7&amp;"CHIRPS",DATA_by_zone!$W:$W,0)),"-")</f>
        <v>0.9526</v>
      </c>
      <c r="G18" s="18">
        <f>IFERROR(INDEX(DATA_by_zone!$N:$N,MATCH($C$7&amp;"CHIRPS",DATA_by_zone!$W:$W,0)),"-")</f>
        <v>0.93100000000000005</v>
      </c>
      <c r="H18" s="19">
        <f>IFERROR(INDEX(DATA_by_zone!$O:$O,MATCH($C$7&amp;"CHIRPS",DATA_by_zone!$W:$W,0)),"-")</f>
        <v>4.8500000000000001E-2</v>
      </c>
      <c r="I18" s="18">
        <f>IFERROR(INDEX(DATA_by_zone!$P:$P,MATCH($C$7&amp;"CHIRPS",DATA_by_zone!$W:$W,0)),"-")</f>
        <v>0.88890000000000002</v>
      </c>
      <c r="J18" s="18">
        <f>IFERROR(INDEX(DATA_by_zone!$L:$L,MATCH($C$7&amp;"CHIRPS",DATA_by_zone!$W:$W,0)),"-")</f>
        <v>0.90100000000000002</v>
      </c>
      <c r="K18" s="18">
        <f>IFERROR(INDEX(DATA_by_zone!$G:$G,MATCH($C$7&amp;"CHIRPS",DATA_by_zone!$W:$W,0)),"-")</f>
        <v>-7.43</v>
      </c>
    </row>
    <row r="19" spans="2:12" ht="24" customHeight="1" x14ac:dyDescent="0.35">
      <c r="B19" s="20">
        <f t="shared" si="0"/>
        <v>6</v>
      </c>
      <c r="C19" s="21" t="s">
        <v>60</v>
      </c>
      <c r="D19" s="22">
        <f>IFERROR(INDEX(SCORES!$D:$D,MATCH($B$7&amp;$C$7&amp;"ERA5_LAND",SCORES!$E:$E,0)),0)</f>
        <v>0.86150000000000004</v>
      </c>
      <c r="E19" s="23">
        <f>IFERROR(INDEX(DATA_by_zone!$M:$M,MATCH($C$7&amp;"ERA5_LAND",DATA_by_zone!$W:$W,0)),"-")</f>
        <v>0.61980000000000002</v>
      </c>
      <c r="F19" s="23">
        <f>IFERROR(INDEX(DATA_by_zone!$J:$J,MATCH($C$7&amp;"ERA5_LAND",DATA_by_zone!$W:$W,0)),"-")</f>
        <v>0.90959999999999996</v>
      </c>
      <c r="G19" s="23">
        <f>IFERROR(INDEX(DATA_by_zone!$N:$N,MATCH($C$7&amp;"ERA5_LAND",DATA_by_zone!$W:$W,0)),"-")</f>
        <v>0.79959999999999998</v>
      </c>
      <c r="H19" s="24">
        <f>IFERROR(INDEX(DATA_by_zone!$O:$O,MATCH($C$7&amp;"ERA5_LAND",DATA_by_zone!$W:$W,0)),"-")</f>
        <v>3.8899999999999997E-2</v>
      </c>
      <c r="I19" s="23">
        <f>IFERROR(INDEX(DATA_by_zone!$P:$P,MATCH($C$7&amp;"ERA5_LAND",DATA_by_zone!$W:$W,0)),"-")</f>
        <v>0.77449999999999997</v>
      </c>
      <c r="J19" s="23">
        <f>IFERROR(INDEX(DATA_by_zone!$L:$L,MATCH($C$7&amp;"ERA5_LAND",DATA_by_zone!$W:$W,0)),"-")</f>
        <v>0.77470000000000006</v>
      </c>
      <c r="K19" s="23">
        <f>IFERROR(INDEX(DATA_by_zone!$G:$G,MATCH($C$7&amp;"ERA5_LAND",DATA_by_zone!$W:$W,0)),"-")</f>
        <v>-28.74</v>
      </c>
    </row>
    <row r="20" spans="2:12" ht="24" customHeight="1" x14ac:dyDescent="0.35">
      <c r="B20" s="15">
        <f t="shared" si="0"/>
        <v>1</v>
      </c>
      <c r="C20" s="25" t="s">
        <v>61</v>
      </c>
      <c r="D20" s="17">
        <f>IFERROR(INDEX(SCORES!$D:$D,MATCH($B$7&amp;$C$7&amp;"GPM_IMERG",SCORES!$E:$E,0)),0)</f>
        <v>0.9556</v>
      </c>
      <c r="E20" s="18">
        <f>IFERROR(INDEX(DATA_by_zone!$M:$M,MATCH($C$7&amp;"GPM_IMERG",DATA_by_zone!$W:$W,0)),"-")</f>
        <v>0.94410000000000005</v>
      </c>
      <c r="F20" s="18">
        <f>IFERROR(INDEX(DATA_by_zone!$J:$J,MATCH($C$7&amp;"GPM_IMERG",DATA_by_zone!$W:$W,0)),"-")</f>
        <v>0.96950000000000003</v>
      </c>
      <c r="G20" s="18">
        <f>IFERROR(INDEX(DATA_by_zone!$N:$N,MATCH($C$7&amp;"GPM_IMERG",DATA_by_zone!$W:$W,0)),"-")</f>
        <v>0.98060000000000003</v>
      </c>
      <c r="H20" s="19">
        <f>IFERROR(INDEX(DATA_by_zone!$O:$O,MATCH($C$7&amp;"GPM_IMERG",DATA_by_zone!$W:$W,0)),"-")</f>
        <v>6.1899999999999997E-2</v>
      </c>
      <c r="I20" s="18">
        <f>IFERROR(INDEX(DATA_by_zone!$P:$P,MATCH($C$7&amp;"GPM_IMERG",DATA_by_zone!$W:$W,0)),"-")</f>
        <v>0.92110000000000003</v>
      </c>
      <c r="J20" s="18">
        <f>IFERROR(INDEX(DATA_by_zone!$L:$L,MATCH($C$7&amp;"GPM_IMERG",DATA_by_zone!$W:$W,0)),"-")</f>
        <v>0.93959999999999999</v>
      </c>
      <c r="K20" s="18">
        <f>IFERROR(INDEX(DATA_by_zone!$G:$G,MATCH($C$7&amp;"GPM_IMERG",DATA_by_zone!$W:$W,0)),"-")</f>
        <v>1.98</v>
      </c>
    </row>
    <row r="21" spans="2:12" ht="24" customHeight="1" x14ac:dyDescent="0.35">
      <c r="B21" s="20">
        <f t="shared" si="0"/>
        <v>5</v>
      </c>
      <c r="C21" s="26" t="s">
        <v>62</v>
      </c>
      <c r="D21" s="22">
        <f>IFERROR(INDEX(SCORES!$D:$D,MATCH($B$7&amp;$C$7&amp;"MERRA2",SCORES!$E:$E,0)),0)</f>
        <v>0.90700000000000003</v>
      </c>
      <c r="E21" s="23">
        <f>IFERROR(INDEX(DATA_by_zone!$M:$M,MATCH($C$7&amp;"MERRA2",DATA_by_zone!$W:$W,0)),"-")</f>
        <v>0.84279999999999999</v>
      </c>
      <c r="F21" s="23">
        <f>IFERROR(INDEX(DATA_by_zone!$J:$J,MATCH($C$7&amp;"MERRA2",DATA_by_zone!$W:$W,0)),"-")</f>
        <v>0.91700000000000004</v>
      </c>
      <c r="G21" s="23">
        <f>IFERROR(INDEX(DATA_by_zone!$N:$N,MATCH($C$7&amp;"MERRA2",DATA_by_zone!$W:$W,0)),"-")</f>
        <v>0.93530000000000002</v>
      </c>
      <c r="H21" s="24">
        <f>IFERROR(INDEX(DATA_by_zone!$O:$O,MATCH($C$7&amp;"MERRA2",DATA_by_zone!$W:$W,0)),"-")</f>
        <v>0.1014</v>
      </c>
      <c r="I21" s="23">
        <f>IFERROR(INDEX(DATA_by_zone!$P:$P,MATCH($C$7&amp;"MERRA2",DATA_by_zone!$W:$W,0)),"-")</f>
        <v>0.84599999999999997</v>
      </c>
      <c r="J21" s="23">
        <f>IFERROR(INDEX(DATA_by_zone!$L:$L,MATCH($C$7&amp;"MERRA2",DATA_by_zone!$W:$W,0)),"-")</f>
        <v>0.83830000000000005</v>
      </c>
      <c r="K21" s="23">
        <f>IFERROR(INDEX(DATA_by_zone!$G:$G,MATCH($C$7&amp;"MERRA2",DATA_by_zone!$W:$W,0)),"-")</f>
        <v>-4.7300000000000004</v>
      </c>
    </row>
    <row r="22" spans="2:12" ht="24" customHeight="1" x14ac:dyDescent="0.35">
      <c r="B22" s="15">
        <f t="shared" si="0"/>
        <v>4</v>
      </c>
      <c r="C22" s="27" t="s">
        <v>63</v>
      </c>
      <c r="D22" s="17">
        <f>IFERROR(INDEX(SCORES!$D:$D,MATCH($B$7&amp;$C$7&amp;"PERSIANN_CDR",SCORES!$E:$E,0)),0)</f>
        <v>0.92449999999999999</v>
      </c>
      <c r="E22" s="18">
        <f>IFERROR(INDEX(DATA_by_zone!$M:$M,MATCH($C$7&amp;"PERSIANN_CDR",DATA_by_zone!$W:$W,0)),"-")</f>
        <v>0.90449999999999997</v>
      </c>
      <c r="F22" s="18">
        <f>IFERROR(INDEX(DATA_by_zone!$J:$J,MATCH($C$7&amp;"PERSIANN_CDR",DATA_by_zone!$W:$W,0)),"-")</f>
        <v>0.93289999999999995</v>
      </c>
      <c r="G22" s="18">
        <f>IFERROR(INDEX(DATA_by_zone!$N:$N,MATCH($C$7&amp;"PERSIANN_CDR",DATA_by_zone!$W:$W,0)),"-")</f>
        <v>0.94610000000000005</v>
      </c>
      <c r="H22" s="19">
        <f>IFERROR(INDEX(DATA_by_zone!$O:$O,MATCH($C$7&amp;"PERSIANN_CDR",DATA_by_zone!$W:$W,0)),"-")</f>
        <v>8.5400000000000004E-2</v>
      </c>
      <c r="I22" s="18">
        <f>IFERROR(INDEX(DATA_by_zone!$P:$P,MATCH($C$7&amp;"PERSIANN_CDR",DATA_by_zone!$W:$W,0)),"-")</f>
        <v>0.86929999999999996</v>
      </c>
      <c r="J22" s="18">
        <f>IFERROR(INDEX(DATA_by_zone!$L:$L,MATCH($C$7&amp;"PERSIANN_CDR",DATA_by_zone!$W:$W,0)),"-")</f>
        <v>0.86960000000000004</v>
      </c>
      <c r="K22" s="18">
        <f>IFERROR(INDEX(DATA_by_zone!$G:$G,MATCH($C$7&amp;"PERSIANN_CDR",DATA_by_zone!$W:$W,0)),"-")</f>
        <v>3.51</v>
      </c>
    </row>
    <row r="23" spans="2:12" ht="24" customHeight="1" x14ac:dyDescent="0.35">
      <c r="B23" s="20">
        <f t="shared" si="0"/>
        <v>3</v>
      </c>
      <c r="C23" s="28" t="s">
        <v>64</v>
      </c>
      <c r="D23" s="22">
        <f>IFERROR(INDEX(SCORES!$D:$D,MATCH($B$7&amp;$C$7&amp;"TERRACLIMATE",SCORES!$E:$E,0)),0)</f>
        <v>0.93340000000000001</v>
      </c>
      <c r="E23" s="23">
        <f>IFERROR(INDEX(DATA_by_zone!$M:$M,MATCH($C$7&amp;"TERRACLIMATE",DATA_by_zone!$W:$W,0)),"-")</f>
        <v>0.93140000000000001</v>
      </c>
      <c r="F23" s="23">
        <f>IFERROR(INDEX(DATA_by_zone!$J:$J,MATCH($C$7&amp;"TERRACLIMATE",DATA_by_zone!$W:$W,0)),"-")</f>
        <v>0.94369999999999998</v>
      </c>
      <c r="G23" s="23">
        <f>IFERROR(INDEX(DATA_by_zone!$N:$N,MATCH($C$7&amp;"TERRACLIMATE",DATA_by_zone!$W:$W,0)),"-")</f>
        <v>0.9526</v>
      </c>
      <c r="H23" s="24">
        <f>IFERROR(INDEX(DATA_by_zone!$O:$O,MATCH($C$7&amp;"TERRACLIMATE",DATA_by_zone!$W:$W,0)),"-")</f>
        <v>8.3000000000000004E-2</v>
      </c>
      <c r="I23" s="23">
        <f>IFERROR(INDEX(DATA_by_zone!$P:$P,MATCH($C$7&amp;"TERRACLIMATE",DATA_by_zone!$W:$W,0)),"-")</f>
        <v>0.877</v>
      </c>
      <c r="J23" s="23">
        <f>IFERROR(INDEX(DATA_by_zone!$L:$L,MATCH($C$7&amp;"TERRACLIMATE",DATA_by_zone!$W:$W,0)),"-")</f>
        <v>0.89029999999999998</v>
      </c>
      <c r="K23" s="23">
        <f>IFERROR(INDEX(DATA_by_zone!$G:$G,MATCH($C$7&amp;"TERRACLIMATE",DATA_by_zone!$W:$W,0)),"-")</f>
        <v>-0.64</v>
      </c>
    </row>
    <row r="24" spans="2:12" ht="8" customHeight="1" x14ac:dyDescent="0.35"/>
    <row r="25" spans="2:12" ht="22" customHeight="1" x14ac:dyDescent="0.35">
      <c r="B25" s="81" t="s">
        <v>65</v>
      </c>
      <c r="C25" s="75"/>
      <c r="D25" s="75"/>
      <c r="E25" s="75"/>
      <c r="F25" s="75"/>
      <c r="G25" s="75"/>
      <c r="H25" s="75"/>
      <c r="I25" s="75"/>
      <c r="J25" s="75"/>
      <c r="K25" s="75"/>
    </row>
    <row r="26" spans="2:12" ht="34" customHeight="1" x14ac:dyDescent="0.35">
      <c r="B26" s="29" t="s">
        <v>66</v>
      </c>
      <c r="C26" s="82" t="s">
        <v>67</v>
      </c>
      <c r="D26" s="75"/>
      <c r="E26" s="75"/>
      <c r="F26" s="75"/>
      <c r="G26" s="75"/>
      <c r="H26" s="75"/>
      <c r="I26" s="75"/>
      <c r="J26" s="75"/>
      <c r="K26" s="75"/>
      <c r="L26" s="75"/>
    </row>
    <row r="27" spans="2:12" ht="34" customHeight="1" x14ac:dyDescent="0.35">
      <c r="B27" s="31" t="s">
        <v>3</v>
      </c>
      <c r="C27" s="80" t="s">
        <v>68</v>
      </c>
      <c r="D27" s="75"/>
      <c r="E27" s="75"/>
      <c r="F27" s="75"/>
      <c r="G27" s="75"/>
      <c r="H27" s="75"/>
      <c r="I27" s="75"/>
      <c r="J27" s="75"/>
      <c r="K27" s="75"/>
      <c r="L27" s="75"/>
    </row>
    <row r="28" spans="2:12" ht="34" customHeight="1" x14ac:dyDescent="0.35">
      <c r="B28" s="33" t="s">
        <v>69</v>
      </c>
      <c r="C28" s="82" t="s">
        <v>70</v>
      </c>
      <c r="D28" s="75"/>
      <c r="E28" s="75"/>
      <c r="F28" s="75"/>
      <c r="G28" s="75"/>
      <c r="H28" s="75"/>
      <c r="I28" s="75"/>
      <c r="J28" s="75"/>
      <c r="K28" s="75"/>
      <c r="L28" s="75"/>
    </row>
    <row r="29" spans="2:12" ht="34" customHeight="1" x14ac:dyDescent="0.35">
      <c r="B29" s="34" t="s">
        <v>71</v>
      </c>
      <c r="C29" s="80" t="s">
        <v>72</v>
      </c>
      <c r="D29" s="75"/>
      <c r="E29" s="75"/>
      <c r="F29" s="75"/>
      <c r="G29" s="75"/>
      <c r="H29" s="75"/>
      <c r="I29" s="75"/>
      <c r="J29" s="75"/>
      <c r="K29" s="75"/>
      <c r="L29" s="75"/>
    </row>
    <row r="30" spans="2:12" ht="34" customHeight="1" x14ac:dyDescent="0.35">
      <c r="B30" s="35" t="s">
        <v>73</v>
      </c>
      <c r="C30" s="82" t="s">
        <v>74</v>
      </c>
      <c r="D30" s="75"/>
      <c r="E30" s="75"/>
      <c r="F30" s="75"/>
      <c r="G30" s="75"/>
      <c r="H30" s="75"/>
      <c r="I30" s="75"/>
      <c r="J30" s="75"/>
      <c r="K30" s="75"/>
      <c r="L30" s="75"/>
    </row>
    <row r="31" spans="2:12" ht="34" customHeight="1" x14ac:dyDescent="0.35">
      <c r="B31" s="36" t="s">
        <v>75</v>
      </c>
      <c r="C31" s="80" t="s">
        <v>76</v>
      </c>
      <c r="D31" s="75"/>
      <c r="E31" s="75"/>
      <c r="F31" s="75"/>
      <c r="G31" s="75"/>
      <c r="H31" s="75"/>
      <c r="I31" s="75"/>
      <c r="J31" s="75"/>
      <c r="K31" s="75"/>
      <c r="L31" s="75"/>
    </row>
    <row r="33" spans="2:11" ht="8" customHeight="1" x14ac:dyDescent="0.35"/>
    <row r="34" spans="2:11" ht="22" customHeight="1" x14ac:dyDescent="0.35">
      <c r="B34" s="81" t="s">
        <v>77</v>
      </c>
      <c r="C34" s="75"/>
      <c r="D34" s="75"/>
      <c r="E34" s="75"/>
      <c r="F34" s="75"/>
      <c r="G34" s="75"/>
      <c r="H34" s="75"/>
      <c r="I34" s="75"/>
      <c r="J34" s="75"/>
      <c r="K34" s="75"/>
    </row>
    <row r="35" spans="2:11" ht="18" customHeight="1" x14ac:dyDescent="0.35">
      <c r="B35" s="12" t="s">
        <v>2</v>
      </c>
      <c r="C35" s="12" t="s">
        <v>52</v>
      </c>
      <c r="D35" s="12" t="s">
        <v>53</v>
      </c>
      <c r="E35" s="12" t="s">
        <v>54</v>
      </c>
      <c r="F35" s="12" t="s">
        <v>78</v>
      </c>
      <c r="G35" s="12" t="s">
        <v>79</v>
      </c>
    </row>
    <row r="36" spans="2:11" ht="22" customHeight="1" x14ac:dyDescent="0.35">
      <c r="B36" s="37" t="s">
        <v>4</v>
      </c>
      <c r="C36" s="18">
        <f>IFERROR(INDEX(DATA_threshold!$D:$D,MATCH(TEXT($D$7,"0.0")&amp;$C$7&amp;"CHIRPS",DATA_threshold!$I:$I,0)),"-")</f>
        <v>0.93100000000000005</v>
      </c>
      <c r="D36" s="19">
        <f>IFERROR(INDEX(DATA_threshold!$E:$E,MATCH(TEXT($D$7,"0.0")&amp;$C$7&amp;"CHIRPS",DATA_threshold!$I:$I,0)),"-")</f>
        <v>4.8500000000000001E-2</v>
      </c>
      <c r="E36" s="18">
        <f>IFERROR(INDEX(DATA_threshold!$F:$F,MATCH(TEXT($D$7,"0.0")&amp;$C$7&amp;"CHIRPS",DATA_threshold!$I:$I,0)),"-")</f>
        <v>0.88890000000000002</v>
      </c>
      <c r="F36" s="18">
        <f>IFERROR(INDEX(DATA_threshold!$G:$G,MATCH(TEXT($D$7,"0.0")&amp;$C$7&amp;"CHIRPS",DATA_threshold!$I:$I,0)),"-")</f>
        <v>0.82609999999999995</v>
      </c>
      <c r="G36" s="18">
        <f>IFERROR(INDEX(DATA_threshold!$H:$H,MATCH(TEXT($D$7,"0.0")&amp;$C$7&amp;"CHIRPS",DATA_threshold!$I:$I,0)),"-")</f>
        <v>0.97840000000000005</v>
      </c>
    </row>
    <row r="37" spans="2:11" ht="22" customHeight="1" x14ac:dyDescent="0.35">
      <c r="B37" s="38" t="s">
        <v>60</v>
      </c>
      <c r="C37" s="23">
        <f>IFERROR(INDEX(DATA_threshold!$D:$D,MATCH(TEXT($D$7,"0.0")&amp;$C$7&amp;"ERA5_LAND",DATA_threshold!$I:$I,0)),"-")</f>
        <v>0.79959999999999998</v>
      </c>
      <c r="D37" s="24">
        <f>IFERROR(INDEX(DATA_threshold!$E:$E,MATCH(TEXT($D$7,"0.0")&amp;$C$7&amp;"ERA5_LAND",DATA_threshold!$I:$I,0)),"-")</f>
        <v>3.8899999999999997E-2</v>
      </c>
      <c r="E37" s="23">
        <f>IFERROR(INDEX(DATA_threshold!$F:$F,MATCH(TEXT($D$7,"0.0")&amp;$C$7&amp;"ERA5_LAND",DATA_threshold!$I:$I,0)),"-")</f>
        <v>0.77449999999999997</v>
      </c>
      <c r="F37" s="23">
        <f>IFERROR(INDEX(DATA_threshold!$G:$G,MATCH(TEXT($D$7,"0.0")&amp;$C$7&amp;"ERA5_LAND",DATA_threshold!$I:$I,0)),"-")</f>
        <v>0.67249999999999999</v>
      </c>
      <c r="G37" s="23">
        <f>IFERROR(INDEX(DATA_threshold!$H:$H,MATCH(TEXT($D$7,"0.0")&amp;$C$7&amp;"ERA5_LAND",DATA_threshold!$I:$I,0)),"-")</f>
        <v>0.83189999999999997</v>
      </c>
    </row>
    <row r="38" spans="2:11" ht="22" customHeight="1" x14ac:dyDescent="0.35">
      <c r="B38" s="39" t="s">
        <v>61</v>
      </c>
      <c r="C38" s="18">
        <f>IFERROR(INDEX(DATA_threshold!$D:$D,MATCH(TEXT($D$7,"0.0")&amp;$C$7&amp;"GPM_IMERG",DATA_threshold!$I:$I,0)),"-")</f>
        <v>0.98060000000000003</v>
      </c>
      <c r="D38" s="19">
        <f>IFERROR(INDEX(DATA_threshold!$E:$E,MATCH(TEXT($D$7,"0.0")&amp;$C$7&amp;"GPM_IMERG",DATA_threshold!$I:$I,0)),"-")</f>
        <v>6.1899999999999997E-2</v>
      </c>
      <c r="E38" s="18">
        <f>IFERROR(INDEX(DATA_threshold!$F:$F,MATCH(TEXT($D$7,"0.0")&amp;$C$7&amp;"GPM_IMERG",DATA_threshold!$I:$I,0)),"-")</f>
        <v>0.92110000000000003</v>
      </c>
      <c r="F38" s="18">
        <f>IFERROR(INDEX(DATA_threshold!$G:$G,MATCH(TEXT($D$7,"0.0")&amp;$C$7&amp;"GPM_IMERG",DATA_threshold!$I:$I,0)),"-")</f>
        <v>0.87270000000000003</v>
      </c>
      <c r="G38" s="18">
        <f>IFERROR(INDEX(DATA_threshold!$H:$H,MATCH(TEXT($D$7,"0.0")&amp;$C$7&amp;"GPM_IMERG",DATA_threshold!$I:$I,0)),"-")</f>
        <v>1.0452999999999999</v>
      </c>
    </row>
    <row r="39" spans="2:11" ht="22" customHeight="1" x14ac:dyDescent="0.35">
      <c r="B39" s="40" t="s">
        <v>62</v>
      </c>
      <c r="C39" s="23">
        <f>IFERROR(INDEX(DATA_threshold!$D:$D,MATCH(TEXT($D$7,"0.0")&amp;$C$7&amp;"MERRA2",DATA_threshold!$I:$I,0)),"-")</f>
        <v>0.93530000000000002</v>
      </c>
      <c r="D39" s="24">
        <f>IFERROR(INDEX(DATA_threshold!$E:$E,MATCH(TEXT($D$7,"0.0")&amp;$C$7&amp;"MERRA2",DATA_threshold!$I:$I,0)),"-")</f>
        <v>0.1014</v>
      </c>
      <c r="E39" s="23">
        <f>IFERROR(INDEX(DATA_threshold!$F:$F,MATCH(TEXT($D$7,"0.0")&amp;$C$7&amp;"MERRA2",DATA_threshold!$I:$I,0)),"-")</f>
        <v>0.84599999999999997</v>
      </c>
      <c r="F39" s="23">
        <f>IFERROR(INDEX(DATA_threshold!$G:$G,MATCH(TEXT($D$7,"0.0")&amp;$C$7&amp;"MERRA2",DATA_threshold!$I:$I,0)),"-")</f>
        <v>0.75780000000000003</v>
      </c>
      <c r="G39" s="23">
        <f>IFERROR(INDEX(DATA_threshold!$H:$H,MATCH(TEXT($D$7,"0.0")&amp;$C$7&amp;"MERRA2",DATA_threshold!$I:$I,0)),"-")</f>
        <v>1.0408999999999999</v>
      </c>
    </row>
    <row r="40" spans="2:11" ht="22" customHeight="1" x14ac:dyDescent="0.35">
      <c r="B40" s="41" t="s">
        <v>63</v>
      </c>
      <c r="C40" s="18">
        <f>IFERROR(INDEX(DATA_threshold!$D:$D,MATCH(TEXT($D$7,"0.0")&amp;$C$7&amp;"PERSIANN_CDR",DATA_threshold!$I:$I,0)),"-")</f>
        <v>0.94610000000000005</v>
      </c>
      <c r="D40" s="19">
        <f>IFERROR(INDEX(DATA_threshold!$E:$E,MATCH(TEXT($D$7,"0.0")&amp;$C$7&amp;"PERSIANN_CDR",DATA_threshold!$I:$I,0)),"-")</f>
        <v>8.5400000000000004E-2</v>
      </c>
      <c r="E40" s="18">
        <f>IFERROR(INDEX(DATA_threshold!$F:$F,MATCH(TEXT($D$7,"0.0")&amp;$C$7&amp;"PERSIANN_CDR",DATA_threshold!$I:$I,0)),"-")</f>
        <v>0.86929999999999996</v>
      </c>
      <c r="F40" s="18">
        <f>IFERROR(INDEX(DATA_threshold!$G:$G,MATCH(TEXT($D$7,"0.0")&amp;$C$7&amp;"PERSIANN_CDR",DATA_threshold!$I:$I,0)),"-")</f>
        <v>0.79339999999999999</v>
      </c>
      <c r="G40" s="18">
        <f>IFERROR(INDEX(DATA_threshold!$H:$H,MATCH(TEXT($D$7,"0.0")&amp;$C$7&amp;"PERSIANN_CDR",DATA_threshold!$I:$I,0)),"-")</f>
        <v>1.0345</v>
      </c>
    </row>
    <row r="41" spans="2:11" ht="22" customHeight="1" x14ac:dyDescent="0.35">
      <c r="B41" s="42" t="s">
        <v>64</v>
      </c>
      <c r="C41" s="23">
        <f>IFERROR(INDEX(DATA_threshold!$D:$D,MATCH(TEXT($D$7,"0.0")&amp;$C$7&amp;"TERRACLIMATE",DATA_threshold!$I:$I,0)),"-")</f>
        <v>0.9526</v>
      </c>
      <c r="D41" s="24">
        <f>IFERROR(INDEX(DATA_threshold!$E:$E,MATCH(TEXT($D$7,"0.0")&amp;$C$7&amp;"TERRACLIMATE",DATA_threshold!$I:$I,0)),"-")</f>
        <v>8.3000000000000004E-2</v>
      </c>
      <c r="E41" s="23">
        <f>IFERROR(INDEX(DATA_threshold!$F:$F,MATCH(TEXT($D$7,"0.0")&amp;$C$7&amp;"TERRACLIMATE",DATA_threshold!$I:$I,0)),"-")</f>
        <v>0.877</v>
      </c>
      <c r="F41" s="23">
        <f>IFERROR(INDEX(DATA_threshold!$G:$G,MATCH(TEXT($D$7,"0.0")&amp;$C$7&amp;"TERRACLIMATE",DATA_threshold!$I:$I,0)),"-")</f>
        <v>0.80479999999999996</v>
      </c>
      <c r="G41" s="23">
        <f>IFERROR(INDEX(DATA_threshold!$H:$H,MATCH(TEXT($D$7,"0.0")&amp;$C$7&amp;"TERRACLIMATE",DATA_threshold!$I:$I,0)),"-")</f>
        <v>1.0387999999999999</v>
      </c>
    </row>
  </sheetData>
  <mergeCells count="15">
    <mergeCell ref="B2:L2"/>
    <mergeCell ref="C29:L29"/>
    <mergeCell ref="C30:L30"/>
    <mergeCell ref="B25:K25"/>
    <mergeCell ref="B16:K16"/>
    <mergeCell ref="B14:L14"/>
    <mergeCell ref="B11:K11"/>
    <mergeCell ref="B9:L9"/>
    <mergeCell ref="B5:K5"/>
    <mergeCell ref="C28:L28"/>
    <mergeCell ref="C27:L27"/>
    <mergeCell ref="C31:L31"/>
    <mergeCell ref="B34:K34"/>
    <mergeCell ref="C26:L26"/>
    <mergeCell ref="B3:L3"/>
  </mergeCells>
  <dataValidations count="4">
    <dataValidation type="list" sqref="B7" xr:uid="{00000000-0002-0000-0100-000000000000}">
      <formula1>"Fire risk monitoring,Wildlife &amp; habitat,Drought early warning,Flood forecasting,Agricultural planning,Hydrological modelling,Climate trend analysis"</formula1>
    </dataValidation>
    <dataValidation type="list" sqref="C7" xr:uid="{00000000-0002-0000-0100-000001000000}">
      <formula1>"Saharian,Sahelian,Soudanian,Guinean,Guineo-Congolean,All West Africa"</formula1>
    </dataValidation>
    <dataValidation type="list" sqref="D7" xr:uid="{00000000-0002-0000-0100-000002000000}">
      <formula1>"0.1,0.5,1.0,2.0,5.0"</formula1>
    </dataValidation>
    <dataValidation type="list" sqref="E7" xr:uid="{00000000-0002-0000-0100-000003000000}">
      <formula1>"Low — need high confidence,Medium — ensemble acceptable,High — exploratory use"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F9F27"/>
  </sheetPr>
  <dimension ref="B1:C17"/>
  <sheetViews>
    <sheetView showGridLines="0" workbookViewId="0">
      <selection activeCell="C11" sqref="C11"/>
    </sheetView>
  </sheetViews>
  <sheetFormatPr defaultRowHeight="14.5" x14ac:dyDescent="0.35"/>
  <cols>
    <col min="1" max="1" width="2" customWidth="1"/>
    <col min="2" max="2" width="28" customWidth="1"/>
    <col min="3" max="3" width="60" customWidth="1"/>
  </cols>
  <sheetData>
    <row r="1" spans="2:3" ht="6" customHeight="1" x14ac:dyDescent="0.35"/>
    <row r="2" spans="2:3" ht="30" customHeight="1" x14ac:dyDescent="0.35">
      <c r="B2" s="78" t="s">
        <v>80</v>
      </c>
      <c r="C2" s="75"/>
    </row>
    <row r="3" spans="2:3" ht="22" customHeight="1" x14ac:dyDescent="0.35">
      <c r="B3" s="3" t="s">
        <v>81</v>
      </c>
      <c r="C3" s="43"/>
    </row>
    <row r="4" spans="2:3" ht="28" customHeight="1" x14ac:dyDescent="0.35">
      <c r="B4" s="44" t="s">
        <v>82</v>
      </c>
      <c r="C4" s="32" t="s">
        <v>83</v>
      </c>
    </row>
    <row r="5" spans="2:3" ht="28" customHeight="1" x14ac:dyDescent="0.35">
      <c r="B5" s="45" t="s">
        <v>84</v>
      </c>
      <c r="C5" s="30" t="s">
        <v>85</v>
      </c>
    </row>
    <row r="6" spans="2:3" ht="28" customHeight="1" x14ac:dyDescent="0.35">
      <c r="B6" s="44" t="s">
        <v>86</v>
      </c>
      <c r="C6" s="32" t="s">
        <v>87</v>
      </c>
    </row>
    <row r="7" spans="2:3" ht="28" customHeight="1" x14ac:dyDescent="0.35">
      <c r="B7" s="45" t="s">
        <v>88</v>
      </c>
      <c r="C7" s="30" t="s">
        <v>89</v>
      </c>
    </row>
    <row r="8" spans="2:3" ht="28" customHeight="1" x14ac:dyDescent="0.35">
      <c r="B8" s="44" t="s">
        <v>90</v>
      </c>
      <c r="C8" s="32" t="s">
        <v>91</v>
      </c>
    </row>
    <row r="9" spans="2:3" ht="22" customHeight="1" x14ac:dyDescent="0.35">
      <c r="B9" s="3" t="s">
        <v>92</v>
      </c>
      <c r="C9" s="43"/>
    </row>
    <row r="10" spans="2:3" ht="28" customHeight="1" x14ac:dyDescent="0.35">
      <c r="B10" s="44" t="s">
        <v>93</v>
      </c>
      <c r="C10" s="32" t="s">
        <v>94</v>
      </c>
    </row>
    <row r="11" spans="2:3" ht="28" customHeight="1" x14ac:dyDescent="0.35">
      <c r="B11" s="45" t="s">
        <v>95</v>
      </c>
      <c r="C11" s="30" t="s">
        <v>96</v>
      </c>
    </row>
    <row r="12" spans="2:3" ht="22" customHeight="1" x14ac:dyDescent="0.35">
      <c r="B12" s="3" t="s">
        <v>97</v>
      </c>
      <c r="C12" s="43"/>
    </row>
    <row r="13" spans="2:3" ht="28" customHeight="1" x14ac:dyDescent="0.35">
      <c r="B13" s="45" t="s">
        <v>66</v>
      </c>
      <c r="C13" s="30" t="s">
        <v>98</v>
      </c>
    </row>
    <row r="14" spans="2:3" ht="28" customHeight="1" x14ac:dyDescent="0.35">
      <c r="B14" s="44" t="s">
        <v>3</v>
      </c>
      <c r="C14" s="32" t="s">
        <v>99</v>
      </c>
    </row>
    <row r="15" spans="2:3" ht="28" customHeight="1" x14ac:dyDescent="0.35">
      <c r="B15" s="45" t="s">
        <v>69</v>
      </c>
      <c r="C15" s="30" t="s">
        <v>100</v>
      </c>
    </row>
    <row r="16" spans="2:3" ht="28" customHeight="1" x14ac:dyDescent="0.35">
      <c r="B16" s="44" t="s">
        <v>71</v>
      </c>
      <c r="C16" s="32" t="s">
        <v>101</v>
      </c>
    </row>
    <row r="17" spans="2:3" ht="28" customHeight="1" x14ac:dyDescent="0.35">
      <c r="B17" s="45" t="s">
        <v>73</v>
      </c>
      <c r="C17" s="30" t="s">
        <v>102</v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8888"/>
  </sheetPr>
  <dimension ref="A1:W37"/>
  <sheetViews>
    <sheetView workbookViewId="0">
      <pane ySplit="1" topLeftCell="A2" activePane="bottomLeft" state="frozen"/>
      <selection pane="bottomLeft" activeCell="W2" sqref="W2"/>
    </sheetView>
  </sheetViews>
  <sheetFormatPr defaultRowHeight="14.5" x14ac:dyDescent="0.35"/>
  <cols>
    <col min="1" max="1" width="11" customWidth="1"/>
    <col min="2" max="2" width="9" customWidth="1"/>
    <col min="3" max="3" width="12" customWidth="1"/>
    <col min="4" max="4" width="18" customWidth="1"/>
    <col min="5" max="17" width="9" customWidth="1"/>
    <col min="18" max="18" width="11" customWidth="1"/>
    <col min="19" max="20" width="9" customWidth="1"/>
    <col min="21" max="21" width="10" customWidth="1"/>
    <col min="22" max="22" width="13" customWidth="1"/>
    <col min="23" max="23" width="12" customWidth="1"/>
  </cols>
  <sheetData>
    <row r="1" spans="1:23" x14ac:dyDescent="0.35">
      <c r="A1" s="12" t="s">
        <v>103</v>
      </c>
      <c r="B1" s="12" t="s">
        <v>104</v>
      </c>
      <c r="C1" s="12" t="s">
        <v>105</v>
      </c>
      <c r="D1" s="12" t="s">
        <v>106</v>
      </c>
      <c r="E1" s="12" t="s">
        <v>107</v>
      </c>
      <c r="F1" s="12" t="s">
        <v>108</v>
      </c>
      <c r="G1" s="12" t="s">
        <v>109</v>
      </c>
      <c r="H1" s="12" t="s">
        <v>110</v>
      </c>
      <c r="I1" s="12" t="s">
        <v>111</v>
      </c>
      <c r="J1" s="12" t="s">
        <v>50</v>
      </c>
      <c r="K1" s="12" t="s">
        <v>112</v>
      </c>
      <c r="L1" s="12" t="s">
        <v>113</v>
      </c>
      <c r="M1" s="12" t="s">
        <v>114</v>
      </c>
      <c r="N1" s="12" t="s">
        <v>115</v>
      </c>
      <c r="O1" s="12" t="s">
        <v>116</v>
      </c>
      <c r="P1" s="12" t="s">
        <v>117</v>
      </c>
      <c r="Q1" s="12" t="s">
        <v>118</v>
      </c>
      <c r="R1" s="12" t="s">
        <v>119</v>
      </c>
      <c r="S1" s="12" t="s">
        <v>120</v>
      </c>
      <c r="T1" s="12" t="s">
        <v>121</v>
      </c>
      <c r="U1" s="12" t="s">
        <v>122</v>
      </c>
      <c r="V1" s="12" t="s">
        <v>123</v>
      </c>
      <c r="W1" s="12" t="s">
        <v>124</v>
      </c>
    </row>
    <row r="2" spans="1:23" x14ac:dyDescent="0.35">
      <c r="A2" s="46" t="s">
        <v>66</v>
      </c>
      <c r="B2" s="47" t="s">
        <v>4</v>
      </c>
      <c r="C2" s="48">
        <v>1</v>
      </c>
      <c r="D2" s="48">
        <v>240</v>
      </c>
      <c r="E2" s="48">
        <v>240</v>
      </c>
      <c r="F2" s="49">
        <v>4.4999999999999998E-2</v>
      </c>
      <c r="G2" s="49">
        <v>16.02</v>
      </c>
      <c r="H2" s="49">
        <v>0.186</v>
      </c>
      <c r="I2" s="49">
        <v>0.39400000000000002</v>
      </c>
      <c r="J2" s="49">
        <v>0.83320000000000005</v>
      </c>
      <c r="K2" s="49">
        <v>0.69420000000000004</v>
      </c>
      <c r="L2" s="49">
        <v>0.66710000000000003</v>
      </c>
      <c r="M2" s="49">
        <v>0.7681</v>
      </c>
      <c r="N2" s="49">
        <v>0.84619999999999995</v>
      </c>
      <c r="O2" s="49">
        <v>0.33329999999999999</v>
      </c>
      <c r="P2" s="49">
        <v>0.59460000000000002</v>
      </c>
      <c r="Q2" s="49">
        <v>0.55120000000000002</v>
      </c>
      <c r="R2" s="49">
        <v>1.2692000000000001</v>
      </c>
      <c r="S2" s="48">
        <v>22</v>
      </c>
      <c r="T2" s="48">
        <v>4</v>
      </c>
      <c r="U2" s="48">
        <v>11</v>
      </c>
      <c r="V2" s="48">
        <v>203</v>
      </c>
      <c r="W2" s="50" t="str">
        <f t="shared" ref="W2:W37" si="0">A2&amp;B2</f>
        <v>SaharianCHIRPS</v>
      </c>
    </row>
    <row r="3" spans="1:23" x14ac:dyDescent="0.35">
      <c r="A3" s="46" t="s">
        <v>66</v>
      </c>
      <c r="B3" s="51" t="s">
        <v>60</v>
      </c>
      <c r="C3" s="52">
        <v>1</v>
      </c>
      <c r="D3" s="52">
        <v>240</v>
      </c>
      <c r="E3" s="52">
        <v>240</v>
      </c>
      <c r="F3" s="53">
        <v>-0.14799999999999999</v>
      </c>
      <c r="G3" s="53">
        <v>-52.35</v>
      </c>
      <c r="H3" s="53">
        <v>0.192</v>
      </c>
      <c r="I3" s="53">
        <v>0.52500000000000002</v>
      </c>
      <c r="J3" s="53">
        <v>0.70150000000000001</v>
      </c>
      <c r="K3" s="53">
        <v>0.49220000000000003</v>
      </c>
      <c r="L3" s="53">
        <v>0.40679999999999999</v>
      </c>
      <c r="M3" s="53">
        <v>0.22059999999999999</v>
      </c>
      <c r="N3" s="53">
        <v>0.30769999999999997</v>
      </c>
      <c r="O3" s="53">
        <v>0.1111</v>
      </c>
      <c r="P3" s="53">
        <v>0.29630000000000001</v>
      </c>
      <c r="Q3" s="53">
        <v>0.26989999999999997</v>
      </c>
      <c r="R3" s="53">
        <v>0.34620000000000001</v>
      </c>
      <c r="S3" s="52">
        <v>8</v>
      </c>
      <c r="T3" s="52">
        <v>18</v>
      </c>
      <c r="U3" s="52">
        <v>1</v>
      </c>
      <c r="V3" s="52">
        <v>213</v>
      </c>
      <c r="W3" s="54" t="str">
        <f t="shared" si="0"/>
        <v>SaharianERA5_LAND</v>
      </c>
    </row>
    <row r="4" spans="1:23" x14ac:dyDescent="0.35">
      <c r="A4" s="46" t="s">
        <v>66</v>
      </c>
      <c r="B4" s="47" t="s">
        <v>61</v>
      </c>
      <c r="C4" s="48">
        <v>1</v>
      </c>
      <c r="D4" s="48">
        <v>240</v>
      </c>
      <c r="E4" s="48">
        <v>240</v>
      </c>
      <c r="F4" s="49">
        <v>8.5000000000000006E-2</v>
      </c>
      <c r="G4" s="49">
        <v>30.22</v>
      </c>
      <c r="H4" s="49">
        <v>0.13900000000000001</v>
      </c>
      <c r="I4" s="49">
        <v>0.32600000000000001</v>
      </c>
      <c r="J4" s="49">
        <v>0.90529999999999999</v>
      </c>
      <c r="K4" s="49">
        <v>0.8196</v>
      </c>
      <c r="L4" s="49">
        <v>0.77110000000000001</v>
      </c>
      <c r="M4" s="49">
        <v>0.67169999999999996</v>
      </c>
      <c r="N4" s="49">
        <v>0.92310000000000003</v>
      </c>
      <c r="O4" s="49">
        <v>0.1429</v>
      </c>
      <c r="P4" s="49">
        <v>0.8</v>
      </c>
      <c r="Q4" s="49">
        <v>0.77749999999999997</v>
      </c>
      <c r="R4" s="49">
        <v>1.0769</v>
      </c>
      <c r="S4" s="48">
        <v>24</v>
      </c>
      <c r="T4" s="48">
        <v>2</v>
      </c>
      <c r="U4" s="48">
        <v>4</v>
      </c>
      <c r="V4" s="48">
        <v>210</v>
      </c>
      <c r="W4" s="50" t="str">
        <f t="shared" si="0"/>
        <v>SaharianGPM_IMERG</v>
      </c>
    </row>
    <row r="5" spans="1:23" x14ac:dyDescent="0.35">
      <c r="A5" s="46" t="s">
        <v>66</v>
      </c>
      <c r="B5" s="51" t="s">
        <v>62</v>
      </c>
      <c r="C5" s="52">
        <v>1</v>
      </c>
      <c r="D5" s="52">
        <v>240</v>
      </c>
      <c r="E5" s="52">
        <v>240</v>
      </c>
      <c r="F5" s="53">
        <v>8.6999999999999994E-2</v>
      </c>
      <c r="G5" s="53">
        <v>30.74</v>
      </c>
      <c r="H5" s="53">
        <v>0.215</v>
      </c>
      <c r="I5" s="53">
        <v>0.73299999999999998</v>
      </c>
      <c r="J5" s="53">
        <v>0.59160000000000001</v>
      </c>
      <c r="K5" s="53">
        <v>0.34989999999999999</v>
      </c>
      <c r="L5" s="53">
        <v>-0.1552</v>
      </c>
      <c r="M5" s="53">
        <v>0.41189999999999999</v>
      </c>
      <c r="N5" s="53">
        <v>0.73080000000000001</v>
      </c>
      <c r="O5" s="53">
        <v>0.32140000000000002</v>
      </c>
      <c r="P5" s="53">
        <v>0.54290000000000005</v>
      </c>
      <c r="Q5" s="53">
        <v>0.4995</v>
      </c>
      <c r="R5" s="53">
        <v>1.0769</v>
      </c>
      <c r="S5" s="52">
        <v>19</v>
      </c>
      <c r="T5" s="52">
        <v>7</v>
      </c>
      <c r="U5" s="52">
        <v>9</v>
      </c>
      <c r="V5" s="52">
        <v>205</v>
      </c>
      <c r="W5" s="54" t="str">
        <f t="shared" si="0"/>
        <v>SaharianMERRA2</v>
      </c>
    </row>
    <row r="6" spans="1:23" x14ac:dyDescent="0.35">
      <c r="A6" s="46" t="s">
        <v>66</v>
      </c>
      <c r="B6" s="47" t="s">
        <v>63</v>
      </c>
      <c r="C6" s="48">
        <v>1</v>
      </c>
      <c r="D6" s="48">
        <v>240</v>
      </c>
      <c r="E6" s="48">
        <v>240</v>
      </c>
      <c r="F6" s="49">
        <v>0.04</v>
      </c>
      <c r="G6" s="49">
        <v>14.12</v>
      </c>
      <c r="H6" s="49">
        <v>0.151</v>
      </c>
      <c r="I6" s="49">
        <v>0.34</v>
      </c>
      <c r="J6" s="49">
        <v>0.87019999999999997</v>
      </c>
      <c r="K6" s="49">
        <v>0.75729999999999997</v>
      </c>
      <c r="L6" s="49">
        <v>0.752</v>
      </c>
      <c r="M6" s="49">
        <v>0.78959999999999997</v>
      </c>
      <c r="N6" s="49">
        <v>0.84619999999999995</v>
      </c>
      <c r="O6" s="49">
        <v>0.1852</v>
      </c>
      <c r="P6" s="49">
        <v>0.7097</v>
      </c>
      <c r="Q6" s="49">
        <v>0.6794</v>
      </c>
      <c r="R6" s="49">
        <v>1.0385</v>
      </c>
      <c r="S6" s="48">
        <v>22</v>
      </c>
      <c r="T6" s="48">
        <v>4</v>
      </c>
      <c r="U6" s="48">
        <v>5</v>
      </c>
      <c r="V6" s="48">
        <v>209</v>
      </c>
      <c r="W6" s="50" t="str">
        <f t="shared" si="0"/>
        <v>SaharianPERSIANN_CDR</v>
      </c>
    </row>
    <row r="7" spans="1:23" x14ac:dyDescent="0.35">
      <c r="A7" s="46" t="s">
        <v>66</v>
      </c>
      <c r="B7" s="51" t="s">
        <v>64</v>
      </c>
      <c r="C7" s="52">
        <v>1</v>
      </c>
      <c r="D7" s="52">
        <v>240</v>
      </c>
      <c r="E7" s="52">
        <v>240</v>
      </c>
      <c r="F7" s="53">
        <v>1.4999999999999999E-2</v>
      </c>
      <c r="G7" s="53">
        <v>5.27</v>
      </c>
      <c r="H7" s="53">
        <v>0.16800000000000001</v>
      </c>
      <c r="I7" s="53">
        <v>0.378</v>
      </c>
      <c r="J7" s="53">
        <v>0.8327</v>
      </c>
      <c r="K7" s="53">
        <v>0.69350000000000001</v>
      </c>
      <c r="L7" s="53">
        <v>0.69220000000000004</v>
      </c>
      <c r="M7" s="53">
        <v>0.77590000000000003</v>
      </c>
      <c r="N7" s="53">
        <v>0.65380000000000005</v>
      </c>
      <c r="O7" s="53">
        <v>0.34620000000000001</v>
      </c>
      <c r="P7" s="53">
        <v>0.48570000000000002</v>
      </c>
      <c r="Q7" s="53">
        <v>0.44069999999999998</v>
      </c>
      <c r="R7" s="53">
        <v>1</v>
      </c>
      <c r="S7" s="52">
        <v>17</v>
      </c>
      <c r="T7" s="52">
        <v>9</v>
      </c>
      <c r="U7" s="52">
        <v>9</v>
      </c>
      <c r="V7" s="52">
        <v>205</v>
      </c>
      <c r="W7" s="54" t="str">
        <f t="shared" si="0"/>
        <v>SaharianTERRACLIMATE</v>
      </c>
    </row>
    <row r="8" spans="1:23" x14ac:dyDescent="0.35">
      <c r="A8" s="55" t="s">
        <v>3</v>
      </c>
      <c r="B8" s="47" t="s">
        <v>4</v>
      </c>
      <c r="C8" s="48">
        <v>5</v>
      </c>
      <c r="D8" s="48">
        <v>1200</v>
      </c>
      <c r="E8" s="48">
        <v>1200</v>
      </c>
      <c r="F8" s="49">
        <v>-0.15</v>
      </c>
      <c r="G8" s="49">
        <v>-7.43</v>
      </c>
      <c r="H8" s="49">
        <v>0.47299999999999998</v>
      </c>
      <c r="I8" s="49">
        <v>1.0109999999999999</v>
      </c>
      <c r="J8" s="49">
        <v>0.9526</v>
      </c>
      <c r="K8" s="49">
        <v>0.90749999999999997</v>
      </c>
      <c r="L8" s="49">
        <v>0.90100000000000002</v>
      </c>
      <c r="M8" s="49">
        <v>0.85670000000000002</v>
      </c>
      <c r="N8" s="49">
        <v>0.93100000000000005</v>
      </c>
      <c r="O8" s="49">
        <v>4.8500000000000001E-2</v>
      </c>
      <c r="P8" s="49">
        <v>0.88890000000000002</v>
      </c>
      <c r="Q8" s="49">
        <v>0.82609999999999995</v>
      </c>
      <c r="R8" s="49">
        <v>0.97840000000000005</v>
      </c>
      <c r="S8" s="48">
        <v>432</v>
      </c>
      <c r="T8" s="48">
        <v>32</v>
      </c>
      <c r="U8" s="48">
        <v>22</v>
      </c>
      <c r="V8" s="48">
        <v>714</v>
      </c>
      <c r="W8" s="50" t="str">
        <f t="shared" si="0"/>
        <v>SahelianCHIRPS</v>
      </c>
    </row>
    <row r="9" spans="1:23" x14ac:dyDescent="0.35">
      <c r="A9" s="55" t="s">
        <v>3</v>
      </c>
      <c r="B9" s="51" t="s">
        <v>60</v>
      </c>
      <c r="C9" s="52">
        <v>5</v>
      </c>
      <c r="D9" s="52">
        <v>1200</v>
      </c>
      <c r="E9" s="52">
        <v>1200</v>
      </c>
      <c r="F9" s="53">
        <v>-0.58099999999999996</v>
      </c>
      <c r="G9" s="53">
        <v>-28.74</v>
      </c>
      <c r="H9" s="53">
        <v>0.77400000000000002</v>
      </c>
      <c r="I9" s="53">
        <v>1.5249999999999999</v>
      </c>
      <c r="J9" s="53">
        <v>0.90959999999999996</v>
      </c>
      <c r="K9" s="53">
        <v>0.82740000000000002</v>
      </c>
      <c r="L9" s="53">
        <v>0.77470000000000006</v>
      </c>
      <c r="M9" s="53">
        <v>0.61980000000000002</v>
      </c>
      <c r="N9" s="53">
        <v>0.79959999999999998</v>
      </c>
      <c r="O9" s="53">
        <v>3.8899999999999997E-2</v>
      </c>
      <c r="P9" s="53">
        <v>0.77449999999999997</v>
      </c>
      <c r="Q9" s="53">
        <v>0.67249999999999999</v>
      </c>
      <c r="R9" s="53">
        <v>0.83189999999999997</v>
      </c>
      <c r="S9" s="52">
        <v>371</v>
      </c>
      <c r="T9" s="52">
        <v>93</v>
      </c>
      <c r="U9" s="52">
        <v>15</v>
      </c>
      <c r="V9" s="52">
        <v>721</v>
      </c>
      <c r="W9" s="54" t="str">
        <f t="shared" si="0"/>
        <v>SahelianERA5_LAND</v>
      </c>
    </row>
    <row r="10" spans="1:23" x14ac:dyDescent="0.35">
      <c r="A10" s="55" t="s">
        <v>3</v>
      </c>
      <c r="B10" s="47" t="s">
        <v>61</v>
      </c>
      <c r="C10" s="48">
        <v>5</v>
      </c>
      <c r="D10" s="48">
        <v>1200</v>
      </c>
      <c r="E10" s="48">
        <v>1200</v>
      </c>
      <c r="F10" s="49">
        <v>0.04</v>
      </c>
      <c r="G10" s="49">
        <v>1.98</v>
      </c>
      <c r="H10" s="49">
        <v>0.38800000000000001</v>
      </c>
      <c r="I10" s="49">
        <v>0.79</v>
      </c>
      <c r="J10" s="49">
        <v>0.96950000000000003</v>
      </c>
      <c r="K10" s="49">
        <v>0.93989999999999996</v>
      </c>
      <c r="L10" s="49">
        <v>0.93959999999999999</v>
      </c>
      <c r="M10" s="49">
        <v>0.94410000000000005</v>
      </c>
      <c r="N10" s="49">
        <v>0.98060000000000003</v>
      </c>
      <c r="O10" s="49">
        <v>6.1899999999999997E-2</v>
      </c>
      <c r="P10" s="49">
        <v>0.92110000000000003</v>
      </c>
      <c r="Q10" s="49">
        <v>0.87270000000000003</v>
      </c>
      <c r="R10" s="49">
        <v>1.0452999999999999</v>
      </c>
      <c r="S10" s="48">
        <v>455</v>
      </c>
      <c r="T10" s="48">
        <v>9</v>
      </c>
      <c r="U10" s="48">
        <v>30</v>
      </c>
      <c r="V10" s="48">
        <v>706</v>
      </c>
      <c r="W10" s="50" t="str">
        <f t="shared" si="0"/>
        <v>SahelianGPM_IMERG</v>
      </c>
    </row>
    <row r="11" spans="1:23" x14ac:dyDescent="0.35">
      <c r="A11" s="55" t="s">
        <v>3</v>
      </c>
      <c r="B11" s="51" t="s">
        <v>62</v>
      </c>
      <c r="C11" s="52">
        <v>5</v>
      </c>
      <c r="D11" s="52">
        <v>1200</v>
      </c>
      <c r="E11" s="52">
        <v>1200</v>
      </c>
      <c r="F11" s="53">
        <v>-9.6000000000000002E-2</v>
      </c>
      <c r="G11" s="53">
        <v>-4.7300000000000004</v>
      </c>
      <c r="H11" s="53">
        <v>0.65200000000000002</v>
      </c>
      <c r="I11" s="53">
        <v>1.292</v>
      </c>
      <c r="J11" s="53">
        <v>0.91700000000000004</v>
      </c>
      <c r="K11" s="53">
        <v>0.84099999999999997</v>
      </c>
      <c r="L11" s="53">
        <v>0.83830000000000005</v>
      </c>
      <c r="M11" s="53">
        <v>0.84279999999999999</v>
      </c>
      <c r="N11" s="53">
        <v>0.93530000000000002</v>
      </c>
      <c r="O11" s="53">
        <v>0.1014</v>
      </c>
      <c r="P11" s="53">
        <v>0.84599999999999997</v>
      </c>
      <c r="Q11" s="53">
        <v>0.75780000000000003</v>
      </c>
      <c r="R11" s="53">
        <v>1.0408999999999999</v>
      </c>
      <c r="S11" s="52">
        <v>434</v>
      </c>
      <c r="T11" s="52">
        <v>30</v>
      </c>
      <c r="U11" s="52">
        <v>49</v>
      </c>
      <c r="V11" s="52">
        <v>687</v>
      </c>
      <c r="W11" s="54" t="str">
        <f t="shared" si="0"/>
        <v>SahelianMERRA2</v>
      </c>
    </row>
    <row r="12" spans="1:23" x14ac:dyDescent="0.35">
      <c r="A12" s="55" t="s">
        <v>3</v>
      </c>
      <c r="B12" s="47" t="s">
        <v>63</v>
      </c>
      <c r="C12" s="48">
        <v>5</v>
      </c>
      <c r="D12" s="48">
        <v>1200</v>
      </c>
      <c r="E12" s="48">
        <v>1200</v>
      </c>
      <c r="F12" s="49">
        <v>7.0999999999999994E-2</v>
      </c>
      <c r="G12" s="49">
        <v>3.51</v>
      </c>
      <c r="H12" s="49">
        <v>0.58099999999999996</v>
      </c>
      <c r="I12" s="49">
        <v>1.1599999999999999</v>
      </c>
      <c r="J12" s="49">
        <v>0.93289999999999995</v>
      </c>
      <c r="K12" s="49">
        <v>0.87019999999999997</v>
      </c>
      <c r="L12" s="49">
        <v>0.86960000000000004</v>
      </c>
      <c r="M12" s="49">
        <v>0.90449999999999997</v>
      </c>
      <c r="N12" s="49">
        <v>0.94610000000000005</v>
      </c>
      <c r="O12" s="49">
        <v>8.5400000000000004E-2</v>
      </c>
      <c r="P12" s="49">
        <v>0.86929999999999996</v>
      </c>
      <c r="Q12" s="49">
        <v>0.79339999999999999</v>
      </c>
      <c r="R12" s="49">
        <v>1.0345</v>
      </c>
      <c r="S12" s="48">
        <v>439</v>
      </c>
      <c r="T12" s="48">
        <v>25</v>
      </c>
      <c r="U12" s="48">
        <v>41</v>
      </c>
      <c r="V12" s="48">
        <v>695</v>
      </c>
      <c r="W12" s="50" t="str">
        <f t="shared" si="0"/>
        <v>SahelianPERSIANN_CDR</v>
      </c>
    </row>
    <row r="13" spans="1:23" x14ac:dyDescent="0.35">
      <c r="A13" s="55" t="s">
        <v>3</v>
      </c>
      <c r="B13" s="51" t="s">
        <v>64</v>
      </c>
      <c r="C13" s="52">
        <v>5</v>
      </c>
      <c r="D13" s="52">
        <v>1200</v>
      </c>
      <c r="E13" s="52">
        <v>1200</v>
      </c>
      <c r="F13" s="53">
        <v>-1.2999999999999999E-2</v>
      </c>
      <c r="G13" s="53">
        <v>-0.64</v>
      </c>
      <c r="H13" s="53">
        <v>0.52800000000000002</v>
      </c>
      <c r="I13" s="53">
        <v>1.0649999999999999</v>
      </c>
      <c r="J13" s="53">
        <v>0.94369999999999998</v>
      </c>
      <c r="K13" s="53">
        <v>0.89059999999999995</v>
      </c>
      <c r="L13" s="53">
        <v>0.89029999999999998</v>
      </c>
      <c r="M13" s="53">
        <v>0.93140000000000001</v>
      </c>
      <c r="N13" s="53">
        <v>0.9526</v>
      </c>
      <c r="O13" s="53">
        <v>8.3000000000000004E-2</v>
      </c>
      <c r="P13" s="53">
        <v>0.877</v>
      </c>
      <c r="Q13" s="53">
        <v>0.80479999999999996</v>
      </c>
      <c r="R13" s="53">
        <v>1.0387999999999999</v>
      </c>
      <c r="S13" s="52">
        <v>442</v>
      </c>
      <c r="T13" s="52">
        <v>22</v>
      </c>
      <c r="U13" s="52">
        <v>40</v>
      </c>
      <c r="V13" s="52">
        <v>696</v>
      </c>
      <c r="W13" s="54" t="str">
        <f t="shared" si="0"/>
        <v>SahelianTERRACLIMATE</v>
      </c>
    </row>
    <row r="14" spans="1:23" x14ac:dyDescent="0.35">
      <c r="A14" s="56" t="s">
        <v>69</v>
      </c>
      <c r="B14" s="47" t="s">
        <v>4</v>
      </c>
      <c r="C14" s="48">
        <v>3</v>
      </c>
      <c r="D14" s="48">
        <v>720</v>
      </c>
      <c r="E14" s="48">
        <v>720</v>
      </c>
      <c r="F14" s="49">
        <v>0.152</v>
      </c>
      <c r="G14" s="49">
        <v>3.57</v>
      </c>
      <c r="H14" s="49">
        <v>1.395</v>
      </c>
      <c r="I14" s="49">
        <v>2.871</v>
      </c>
      <c r="J14" s="49">
        <v>0.90439999999999998</v>
      </c>
      <c r="K14" s="49">
        <v>0.81789999999999996</v>
      </c>
      <c r="L14" s="49">
        <v>0.81640000000000001</v>
      </c>
      <c r="M14" s="49">
        <v>0.87949999999999995</v>
      </c>
      <c r="N14" s="49">
        <v>0.97489999999999999</v>
      </c>
      <c r="O14" s="49">
        <v>0.1094</v>
      </c>
      <c r="P14" s="49">
        <v>0.87060000000000004</v>
      </c>
      <c r="Q14" s="49">
        <v>0.74760000000000004</v>
      </c>
      <c r="R14" s="49">
        <v>1.0947</v>
      </c>
      <c r="S14" s="48">
        <v>350</v>
      </c>
      <c r="T14" s="48">
        <v>9</v>
      </c>
      <c r="U14" s="48">
        <v>43</v>
      </c>
      <c r="V14" s="48">
        <v>318</v>
      </c>
      <c r="W14" s="50" t="str">
        <f t="shared" si="0"/>
        <v>SoudanianCHIRPS</v>
      </c>
    </row>
    <row r="15" spans="1:23" x14ac:dyDescent="0.35">
      <c r="A15" s="56" t="s">
        <v>69</v>
      </c>
      <c r="B15" s="51" t="s">
        <v>60</v>
      </c>
      <c r="C15" s="52">
        <v>3</v>
      </c>
      <c r="D15" s="52">
        <v>720</v>
      </c>
      <c r="E15" s="52">
        <v>720</v>
      </c>
      <c r="F15" s="53">
        <v>0.17899999999999999</v>
      </c>
      <c r="G15" s="53">
        <v>4.2</v>
      </c>
      <c r="H15" s="53">
        <v>1.649</v>
      </c>
      <c r="I15" s="53">
        <v>3.54</v>
      </c>
      <c r="J15" s="53">
        <v>0.86199999999999999</v>
      </c>
      <c r="K15" s="53">
        <v>0.74299999999999999</v>
      </c>
      <c r="L15" s="53">
        <v>0.72089999999999999</v>
      </c>
      <c r="M15" s="53">
        <v>0.85550000000000004</v>
      </c>
      <c r="N15" s="53">
        <v>0.9415</v>
      </c>
      <c r="O15" s="53">
        <v>8.8900000000000007E-2</v>
      </c>
      <c r="P15" s="53">
        <v>0.86219999999999997</v>
      </c>
      <c r="Q15" s="53">
        <v>0.73909999999999998</v>
      </c>
      <c r="R15" s="53">
        <v>1.0334000000000001</v>
      </c>
      <c r="S15" s="52">
        <v>338</v>
      </c>
      <c r="T15" s="52">
        <v>21</v>
      </c>
      <c r="U15" s="52">
        <v>33</v>
      </c>
      <c r="V15" s="52">
        <v>328</v>
      </c>
      <c r="W15" s="54" t="str">
        <f t="shared" si="0"/>
        <v>SoudanianERA5_LAND</v>
      </c>
    </row>
    <row r="16" spans="1:23" x14ac:dyDescent="0.35">
      <c r="A16" s="56" t="s">
        <v>69</v>
      </c>
      <c r="B16" s="47" t="s">
        <v>61</v>
      </c>
      <c r="C16" s="48">
        <v>3</v>
      </c>
      <c r="D16" s="48">
        <v>720</v>
      </c>
      <c r="E16" s="48">
        <v>720</v>
      </c>
      <c r="F16" s="49">
        <v>0.253</v>
      </c>
      <c r="G16" s="49">
        <v>5.92</v>
      </c>
      <c r="H16" s="49">
        <v>1.083</v>
      </c>
      <c r="I16" s="49">
        <v>2.0939999999999999</v>
      </c>
      <c r="J16" s="49">
        <v>0.95279999999999998</v>
      </c>
      <c r="K16" s="49">
        <v>0.90769999999999995</v>
      </c>
      <c r="L16" s="49">
        <v>0.90229999999999999</v>
      </c>
      <c r="M16" s="49">
        <v>0.86580000000000001</v>
      </c>
      <c r="N16" s="49">
        <v>0.9889</v>
      </c>
      <c r="O16" s="49">
        <v>0.12559999999999999</v>
      </c>
      <c r="P16" s="49">
        <v>0.8659</v>
      </c>
      <c r="Q16" s="49">
        <v>0.73499999999999999</v>
      </c>
      <c r="R16" s="49">
        <v>1.1309</v>
      </c>
      <c r="S16" s="48">
        <v>355</v>
      </c>
      <c r="T16" s="48">
        <v>4</v>
      </c>
      <c r="U16" s="48">
        <v>51</v>
      </c>
      <c r="V16" s="48">
        <v>310</v>
      </c>
      <c r="W16" s="50" t="str">
        <f t="shared" si="0"/>
        <v>SoudanianGPM_IMERG</v>
      </c>
    </row>
    <row r="17" spans="1:23" x14ac:dyDescent="0.35">
      <c r="A17" s="56" t="s">
        <v>69</v>
      </c>
      <c r="B17" s="51" t="s">
        <v>62</v>
      </c>
      <c r="C17" s="52">
        <v>3</v>
      </c>
      <c r="D17" s="52">
        <v>720</v>
      </c>
      <c r="E17" s="52">
        <v>720</v>
      </c>
      <c r="F17" s="53">
        <v>-0.11</v>
      </c>
      <c r="G17" s="53">
        <v>-2.57</v>
      </c>
      <c r="H17" s="53">
        <v>2.1190000000000002</v>
      </c>
      <c r="I17" s="53">
        <v>4.7939999999999996</v>
      </c>
      <c r="J17" s="53">
        <v>0.78590000000000004</v>
      </c>
      <c r="K17" s="53">
        <v>0.61770000000000003</v>
      </c>
      <c r="L17" s="53">
        <v>0.48799999999999999</v>
      </c>
      <c r="M17" s="53">
        <v>0.73980000000000001</v>
      </c>
      <c r="N17" s="53">
        <v>0.93310000000000004</v>
      </c>
      <c r="O17" s="53">
        <v>7.7100000000000002E-2</v>
      </c>
      <c r="P17" s="53">
        <v>0.86560000000000004</v>
      </c>
      <c r="Q17" s="53">
        <v>0.74760000000000004</v>
      </c>
      <c r="R17" s="53">
        <v>1.0111000000000001</v>
      </c>
      <c r="S17" s="52">
        <v>335</v>
      </c>
      <c r="T17" s="52">
        <v>24</v>
      </c>
      <c r="U17" s="52">
        <v>28</v>
      </c>
      <c r="V17" s="52">
        <v>333</v>
      </c>
      <c r="W17" s="54" t="str">
        <f t="shared" si="0"/>
        <v>SoudanianMERRA2</v>
      </c>
    </row>
    <row r="18" spans="1:23" x14ac:dyDescent="0.35">
      <c r="A18" s="56" t="s">
        <v>69</v>
      </c>
      <c r="B18" s="47" t="s">
        <v>63</v>
      </c>
      <c r="C18" s="48">
        <v>3</v>
      </c>
      <c r="D18" s="48">
        <v>720</v>
      </c>
      <c r="E18" s="48">
        <v>720</v>
      </c>
      <c r="F18" s="49">
        <v>-0.30099999999999999</v>
      </c>
      <c r="G18" s="49">
        <v>-7.06</v>
      </c>
      <c r="H18" s="49">
        <v>1.5840000000000001</v>
      </c>
      <c r="I18" s="49">
        <v>3.4990000000000001</v>
      </c>
      <c r="J18" s="49">
        <v>0.86839999999999995</v>
      </c>
      <c r="K18" s="49">
        <v>0.75419999999999998</v>
      </c>
      <c r="L18" s="49">
        <v>0.72719999999999996</v>
      </c>
      <c r="M18" s="49">
        <v>0.67430000000000001</v>
      </c>
      <c r="N18" s="49">
        <v>0.95820000000000005</v>
      </c>
      <c r="O18" s="49">
        <v>0.1157</v>
      </c>
      <c r="P18" s="49">
        <v>0.85150000000000003</v>
      </c>
      <c r="Q18" s="49">
        <v>0.71430000000000005</v>
      </c>
      <c r="R18" s="49">
        <v>1.0835999999999999</v>
      </c>
      <c r="S18" s="48">
        <v>344</v>
      </c>
      <c r="T18" s="48">
        <v>15</v>
      </c>
      <c r="U18" s="48">
        <v>45</v>
      </c>
      <c r="V18" s="48">
        <v>316</v>
      </c>
      <c r="W18" s="50" t="str">
        <f t="shared" si="0"/>
        <v>SoudanianPERSIANN_CDR</v>
      </c>
    </row>
    <row r="19" spans="1:23" x14ac:dyDescent="0.35">
      <c r="A19" s="56" t="s">
        <v>69</v>
      </c>
      <c r="B19" s="51" t="s">
        <v>64</v>
      </c>
      <c r="C19" s="52">
        <v>3</v>
      </c>
      <c r="D19" s="52">
        <v>720</v>
      </c>
      <c r="E19" s="52">
        <v>720</v>
      </c>
      <c r="F19" s="53">
        <v>1.163</v>
      </c>
      <c r="G19" s="53">
        <v>27.26</v>
      </c>
      <c r="H19" s="53">
        <v>2.1309999999999998</v>
      </c>
      <c r="I19" s="53">
        <v>5.5750000000000002</v>
      </c>
      <c r="J19" s="53">
        <v>0.83140000000000003</v>
      </c>
      <c r="K19" s="53">
        <v>0.69120000000000004</v>
      </c>
      <c r="L19" s="53">
        <v>0.30759999999999998</v>
      </c>
      <c r="M19" s="53">
        <v>0.46689999999999998</v>
      </c>
      <c r="N19" s="53">
        <v>0.9526</v>
      </c>
      <c r="O19" s="53">
        <v>8.7999999999999995E-2</v>
      </c>
      <c r="P19" s="53">
        <v>0.87239999999999995</v>
      </c>
      <c r="Q19" s="53">
        <v>0.75609999999999999</v>
      </c>
      <c r="R19" s="53">
        <v>1.0446</v>
      </c>
      <c r="S19" s="52">
        <v>342</v>
      </c>
      <c r="T19" s="52">
        <v>17</v>
      </c>
      <c r="U19" s="52">
        <v>33</v>
      </c>
      <c r="V19" s="52">
        <v>328</v>
      </c>
      <c r="W19" s="54" t="str">
        <f t="shared" si="0"/>
        <v>SoudanianTERRACLIMATE</v>
      </c>
    </row>
    <row r="20" spans="1:23" x14ac:dyDescent="0.35">
      <c r="A20" s="57" t="s">
        <v>71</v>
      </c>
      <c r="B20" s="47" t="s">
        <v>4</v>
      </c>
      <c r="C20" s="48">
        <v>3</v>
      </c>
      <c r="D20" s="48">
        <v>720</v>
      </c>
      <c r="E20" s="48">
        <v>720</v>
      </c>
      <c r="F20" s="49">
        <v>0.93</v>
      </c>
      <c r="G20" s="49">
        <v>15.41</v>
      </c>
      <c r="H20" s="49">
        <v>2.3769999999999998</v>
      </c>
      <c r="I20" s="49">
        <v>4.1210000000000004</v>
      </c>
      <c r="J20" s="49">
        <v>0.83679999999999999</v>
      </c>
      <c r="K20" s="49">
        <v>0.70020000000000004</v>
      </c>
      <c r="L20" s="49">
        <v>0.64139999999999997</v>
      </c>
      <c r="M20" s="49">
        <v>0.77239999999999998</v>
      </c>
      <c r="N20" s="49">
        <v>0.97370000000000001</v>
      </c>
      <c r="O20" s="49">
        <v>0.1023</v>
      </c>
      <c r="P20" s="49">
        <v>0.87649999999999995</v>
      </c>
      <c r="Q20" s="49">
        <v>0.55669999999999997</v>
      </c>
      <c r="R20" s="49">
        <v>1.0846</v>
      </c>
      <c r="S20" s="48">
        <v>518</v>
      </c>
      <c r="T20" s="48">
        <v>14</v>
      </c>
      <c r="U20" s="48">
        <v>59</v>
      </c>
      <c r="V20" s="48">
        <v>129</v>
      </c>
      <c r="W20" s="50" t="str">
        <f t="shared" si="0"/>
        <v>GuineanCHIRPS</v>
      </c>
    </row>
    <row r="21" spans="1:23" x14ac:dyDescent="0.35">
      <c r="A21" s="57" t="s">
        <v>71</v>
      </c>
      <c r="B21" s="51" t="s">
        <v>60</v>
      </c>
      <c r="C21" s="52">
        <v>3</v>
      </c>
      <c r="D21" s="52">
        <v>720</v>
      </c>
      <c r="E21" s="52">
        <v>720</v>
      </c>
      <c r="F21" s="53">
        <v>1.1319999999999999</v>
      </c>
      <c r="G21" s="53">
        <v>18.739999999999998</v>
      </c>
      <c r="H21" s="53">
        <v>2.9540000000000002</v>
      </c>
      <c r="I21" s="53">
        <v>4.734</v>
      </c>
      <c r="J21" s="53">
        <v>0.79310000000000003</v>
      </c>
      <c r="K21" s="53">
        <v>0.62909999999999999</v>
      </c>
      <c r="L21" s="53">
        <v>0.52680000000000005</v>
      </c>
      <c r="M21" s="53">
        <v>0.71289999999999998</v>
      </c>
      <c r="N21" s="53">
        <v>0.97370000000000001</v>
      </c>
      <c r="O21" s="53">
        <v>0.15079999999999999</v>
      </c>
      <c r="P21" s="53">
        <v>0.83009999999999995</v>
      </c>
      <c r="Q21" s="53">
        <v>0.38829999999999998</v>
      </c>
      <c r="R21" s="53">
        <v>1.1466000000000001</v>
      </c>
      <c r="S21" s="52">
        <v>518</v>
      </c>
      <c r="T21" s="52">
        <v>14</v>
      </c>
      <c r="U21" s="52">
        <v>92</v>
      </c>
      <c r="V21" s="52">
        <v>96</v>
      </c>
      <c r="W21" s="54" t="str">
        <f t="shared" si="0"/>
        <v>GuineanERA5_LAND</v>
      </c>
    </row>
    <row r="22" spans="1:23" x14ac:dyDescent="0.35">
      <c r="A22" s="57" t="s">
        <v>71</v>
      </c>
      <c r="B22" s="47" t="s">
        <v>61</v>
      </c>
      <c r="C22" s="48">
        <v>3</v>
      </c>
      <c r="D22" s="48">
        <v>720</v>
      </c>
      <c r="E22" s="48">
        <v>720</v>
      </c>
      <c r="F22" s="49">
        <v>0.28000000000000003</v>
      </c>
      <c r="G22" s="49">
        <v>4.63</v>
      </c>
      <c r="H22" s="49">
        <v>2.0609999999999999</v>
      </c>
      <c r="I22" s="49">
        <v>3.3980000000000001</v>
      </c>
      <c r="J22" s="49">
        <v>0.87070000000000003</v>
      </c>
      <c r="K22" s="49">
        <v>0.7581</v>
      </c>
      <c r="L22" s="49">
        <v>0.75629999999999997</v>
      </c>
      <c r="M22" s="49">
        <v>0.8034</v>
      </c>
      <c r="N22" s="49">
        <v>0.96619999999999995</v>
      </c>
      <c r="O22" s="49">
        <v>0.12139999999999999</v>
      </c>
      <c r="P22" s="49">
        <v>0.85240000000000005</v>
      </c>
      <c r="Q22" s="49">
        <v>0.4788</v>
      </c>
      <c r="R22" s="49">
        <v>1.0995999999999999</v>
      </c>
      <c r="S22" s="48">
        <v>514</v>
      </c>
      <c r="T22" s="48">
        <v>18</v>
      </c>
      <c r="U22" s="48">
        <v>71</v>
      </c>
      <c r="V22" s="48">
        <v>117</v>
      </c>
      <c r="W22" s="50" t="str">
        <f t="shared" si="0"/>
        <v>GuineanGPM_IMERG</v>
      </c>
    </row>
    <row r="23" spans="1:23" x14ac:dyDescent="0.35">
      <c r="A23" s="57" t="s">
        <v>71</v>
      </c>
      <c r="B23" s="51" t="s">
        <v>62</v>
      </c>
      <c r="C23" s="52">
        <v>3</v>
      </c>
      <c r="D23" s="52">
        <v>720</v>
      </c>
      <c r="E23" s="52">
        <v>720</v>
      </c>
      <c r="F23" s="53">
        <v>-0.99199999999999999</v>
      </c>
      <c r="G23" s="53">
        <v>-16.43</v>
      </c>
      <c r="H23" s="53">
        <v>3.4550000000000001</v>
      </c>
      <c r="I23" s="53">
        <v>6.4829999999999997</v>
      </c>
      <c r="J23" s="53">
        <v>0.61450000000000005</v>
      </c>
      <c r="K23" s="53">
        <v>0.37759999999999999</v>
      </c>
      <c r="L23" s="53">
        <v>0.1128</v>
      </c>
      <c r="M23" s="53">
        <v>0.56710000000000005</v>
      </c>
      <c r="N23" s="53">
        <v>0.87970000000000004</v>
      </c>
      <c r="O23" s="53">
        <v>5.45E-2</v>
      </c>
      <c r="P23" s="53">
        <v>0.83720000000000006</v>
      </c>
      <c r="Q23" s="53">
        <v>0.52910000000000001</v>
      </c>
      <c r="R23" s="53">
        <v>0.93049999999999999</v>
      </c>
      <c r="S23" s="52">
        <v>468</v>
      </c>
      <c r="T23" s="52">
        <v>64</v>
      </c>
      <c r="U23" s="52">
        <v>27</v>
      </c>
      <c r="V23" s="52">
        <v>161</v>
      </c>
      <c r="W23" s="54" t="str">
        <f t="shared" si="0"/>
        <v>GuineanMERRA2</v>
      </c>
    </row>
    <row r="24" spans="1:23" x14ac:dyDescent="0.35">
      <c r="A24" s="57" t="s">
        <v>71</v>
      </c>
      <c r="B24" s="47" t="s">
        <v>63</v>
      </c>
      <c r="C24" s="48">
        <v>3</v>
      </c>
      <c r="D24" s="48">
        <v>720</v>
      </c>
      <c r="E24" s="48">
        <v>720</v>
      </c>
      <c r="F24" s="49">
        <v>-0.84099999999999997</v>
      </c>
      <c r="G24" s="49">
        <v>-13.93</v>
      </c>
      <c r="H24" s="49">
        <v>2.266</v>
      </c>
      <c r="I24" s="49">
        <v>4.1479999999999997</v>
      </c>
      <c r="J24" s="49">
        <v>0.81889999999999996</v>
      </c>
      <c r="K24" s="49">
        <v>0.67059999999999997</v>
      </c>
      <c r="L24" s="49">
        <v>0.63680000000000003</v>
      </c>
      <c r="M24" s="49">
        <v>0.60809999999999997</v>
      </c>
      <c r="N24" s="49">
        <v>0.97560000000000002</v>
      </c>
      <c r="O24" s="49">
        <v>8.4699999999999998E-2</v>
      </c>
      <c r="P24" s="49">
        <v>0.89480000000000004</v>
      </c>
      <c r="Q24" s="49">
        <v>0.62119999999999997</v>
      </c>
      <c r="R24" s="49">
        <v>1.0658000000000001</v>
      </c>
      <c r="S24" s="48">
        <v>519</v>
      </c>
      <c r="T24" s="48">
        <v>13</v>
      </c>
      <c r="U24" s="48">
        <v>48</v>
      </c>
      <c r="V24" s="48">
        <v>140</v>
      </c>
      <c r="W24" s="50" t="str">
        <f t="shared" si="0"/>
        <v>GuineanPERSIANN_CDR</v>
      </c>
    </row>
    <row r="25" spans="1:23" x14ac:dyDescent="0.35">
      <c r="A25" s="57" t="s">
        <v>71</v>
      </c>
      <c r="B25" s="51" t="s">
        <v>64</v>
      </c>
      <c r="C25" s="52">
        <v>3</v>
      </c>
      <c r="D25" s="52">
        <v>720</v>
      </c>
      <c r="E25" s="52">
        <v>720</v>
      </c>
      <c r="F25" s="53">
        <v>2.0230000000000001</v>
      </c>
      <c r="G25" s="53">
        <v>33.49</v>
      </c>
      <c r="H25" s="53">
        <v>3.2949999999999999</v>
      </c>
      <c r="I25" s="53">
        <v>6.1779999999999999</v>
      </c>
      <c r="J25" s="53">
        <v>0.76200000000000001</v>
      </c>
      <c r="K25" s="53">
        <v>0.5806</v>
      </c>
      <c r="L25" s="53">
        <v>0.19409999999999999</v>
      </c>
      <c r="M25" s="53">
        <v>0.4854</v>
      </c>
      <c r="N25" s="53">
        <v>0.98309999999999997</v>
      </c>
      <c r="O25" s="53">
        <v>0.13120000000000001</v>
      </c>
      <c r="P25" s="53">
        <v>0.85599999999999998</v>
      </c>
      <c r="Q25" s="53">
        <v>0.47049999999999997</v>
      </c>
      <c r="R25" s="53">
        <v>1.1315999999999999</v>
      </c>
      <c r="S25" s="52">
        <v>523</v>
      </c>
      <c r="T25" s="52">
        <v>9</v>
      </c>
      <c r="U25" s="52">
        <v>79</v>
      </c>
      <c r="V25" s="52">
        <v>109</v>
      </c>
      <c r="W25" s="54" t="str">
        <f t="shared" si="0"/>
        <v>GuineanTERRACLIMATE</v>
      </c>
    </row>
    <row r="26" spans="1:23" x14ac:dyDescent="0.35">
      <c r="A26" s="58" t="s">
        <v>73</v>
      </c>
      <c r="B26" s="47" t="s">
        <v>4</v>
      </c>
      <c r="C26" s="48">
        <v>4</v>
      </c>
      <c r="D26" s="48">
        <v>960</v>
      </c>
      <c r="E26" s="48">
        <v>960</v>
      </c>
      <c r="F26" s="49">
        <v>0.215</v>
      </c>
      <c r="G26" s="49">
        <v>6.62</v>
      </c>
      <c r="H26" s="49">
        <v>0.90700000000000003</v>
      </c>
      <c r="I26" s="49">
        <v>1.351</v>
      </c>
      <c r="J26" s="49">
        <v>0.87580000000000002</v>
      </c>
      <c r="K26" s="49">
        <v>0.7671</v>
      </c>
      <c r="L26" s="49">
        <v>0.74319999999999997</v>
      </c>
      <c r="M26" s="49">
        <v>0.85899999999999999</v>
      </c>
      <c r="N26" s="49">
        <v>0.9597</v>
      </c>
      <c r="O26" s="49">
        <v>8.9200000000000002E-2</v>
      </c>
      <c r="P26" s="49">
        <v>0.87729999999999997</v>
      </c>
      <c r="Q26" s="49">
        <v>0.5141</v>
      </c>
      <c r="R26" s="49">
        <v>1.0537000000000001</v>
      </c>
      <c r="S26" s="48">
        <v>715</v>
      </c>
      <c r="T26" s="48">
        <v>30</v>
      </c>
      <c r="U26" s="48">
        <v>70</v>
      </c>
      <c r="V26" s="48">
        <v>145</v>
      </c>
      <c r="W26" s="50" t="str">
        <f t="shared" si="0"/>
        <v>Guineo-CongoleanCHIRPS</v>
      </c>
    </row>
    <row r="27" spans="1:23" x14ac:dyDescent="0.35">
      <c r="A27" s="58" t="s">
        <v>73</v>
      </c>
      <c r="B27" s="51" t="s">
        <v>60</v>
      </c>
      <c r="C27" s="52">
        <v>4</v>
      </c>
      <c r="D27" s="52">
        <v>960</v>
      </c>
      <c r="E27" s="52">
        <v>960</v>
      </c>
      <c r="F27" s="53">
        <v>0.105</v>
      </c>
      <c r="G27" s="53">
        <v>3.24</v>
      </c>
      <c r="H27" s="53">
        <v>1.323</v>
      </c>
      <c r="I27" s="53">
        <v>1.8089999999999999</v>
      </c>
      <c r="J27" s="53">
        <v>0.74690000000000001</v>
      </c>
      <c r="K27" s="53">
        <v>0.55789999999999995</v>
      </c>
      <c r="L27" s="53">
        <v>0.53900000000000003</v>
      </c>
      <c r="M27" s="53">
        <v>0.71740000000000004</v>
      </c>
      <c r="N27" s="53">
        <v>0.97319999999999995</v>
      </c>
      <c r="O27" s="53">
        <v>0.14499999999999999</v>
      </c>
      <c r="P27" s="53">
        <v>0.83530000000000004</v>
      </c>
      <c r="Q27" s="53">
        <v>0.31879999999999997</v>
      </c>
      <c r="R27" s="53">
        <v>1.1383000000000001</v>
      </c>
      <c r="S27" s="52">
        <v>725</v>
      </c>
      <c r="T27" s="52">
        <v>20</v>
      </c>
      <c r="U27" s="52">
        <v>123</v>
      </c>
      <c r="V27" s="52">
        <v>92</v>
      </c>
      <c r="W27" s="54" t="str">
        <f t="shared" si="0"/>
        <v>Guineo-CongoleanERA5_LAND</v>
      </c>
    </row>
    <row r="28" spans="1:23" x14ac:dyDescent="0.35">
      <c r="A28" s="58" t="s">
        <v>73</v>
      </c>
      <c r="B28" s="47" t="s">
        <v>61</v>
      </c>
      <c r="C28" s="48">
        <v>4</v>
      </c>
      <c r="D28" s="48">
        <v>960</v>
      </c>
      <c r="E28" s="48">
        <v>960</v>
      </c>
      <c r="F28" s="49">
        <v>-6.6000000000000003E-2</v>
      </c>
      <c r="G28" s="49">
        <v>-2.0299999999999998</v>
      </c>
      <c r="H28" s="49">
        <v>0.68600000000000005</v>
      </c>
      <c r="I28" s="49">
        <v>1.032</v>
      </c>
      <c r="J28" s="49">
        <v>0.92369999999999997</v>
      </c>
      <c r="K28" s="49">
        <v>0.85319999999999996</v>
      </c>
      <c r="L28" s="49">
        <v>0.85</v>
      </c>
      <c r="M28" s="49">
        <v>0.91720000000000002</v>
      </c>
      <c r="N28" s="49">
        <v>0.96779999999999999</v>
      </c>
      <c r="O28" s="49">
        <v>5.2600000000000001E-2</v>
      </c>
      <c r="P28" s="49">
        <v>0.91849999999999998</v>
      </c>
      <c r="Q28" s="49">
        <v>0.67079999999999995</v>
      </c>
      <c r="R28" s="49">
        <v>1.0215000000000001</v>
      </c>
      <c r="S28" s="48">
        <v>721</v>
      </c>
      <c r="T28" s="48">
        <v>24</v>
      </c>
      <c r="U28" s="48">
        <v>40</v>
      </c>
      <c r="V28" s="48">
        <v>175</v>
      </c>
      <c r="W28" s="50" t="str">
        <f t="shared" si="0"/>
        <v>Guineo-CongoleanGPM_IMERG</v>
      </c>
    </row>
    <row r="29" spans="1:23" x14ac:dyDescent="0.35">
      <c r="A29" s="58" t="s">
        <v>73</v>
      </c>
      <c r="B29" s="51" t="s">
        <v>62</v>
      </c>
      <c r="C29" s="52">
        <v>4</v>
      </c>
      <c r="D29" s="52">
        <v>960</v>
      </c>
      <c r="E29" s="52">
        <v>960</v>
      </c>
      <c r="F29" s="53">
        <v>0.22700000000000001</v>
      </c>
      <c r="G29" s="53">
        <v>7.02</v>
      </c>
      <c r="H29" s="53">
        <v>1.0680000000000001</v>
      </c>
      <c r="I29" s="53">
        <v>1.5129999999999999</v>
      </c>
      <c r="J29" s="53">
        <v>0.8327</v>
      </c>
      <c r="K29" s="53">
        <v>0.69340000000000002</v>
      </c>
      <c r="L29" s="53">
        <v>0.67779999999999996</v>
      </c>
      <c r="M29" s="53">
        <v>0.80310000000000004</v>
      </c>
      <c r="N29" s="53">
        <v>0.95699999999999996</v>
      </c>
      <c r="O29" s="53">
        <v>9.2899999999999996E-2</v>
      </c>
      <c r="P29" s="53">
        <v>0.87160000000000004</v>
      </c>
      <c r="Q29" s="53">
        <v>0.49530000000000002</v>
      </c>
      <c r="R29" s="53">
        <v>1.0549999999999999</v>
      </c>
      <c r="S29" s="52">
        <v>713</v>
      </c>
      <c r="T29" s="52">
        <v>32</v>
      </c>
      <c r="U29" s="52">
        <v>73</v>
      </c>
      <c r="V29" s="52">
        <v>142</v>
      </c>
      <c r="W29" s="54" t="str">
        <f t="shared" si="0"/>
        <v>Guineo-CongoleanMERRA2</v>
      </c>
    </row>
    <row r="30" spans="1:23" x14ac:dyDescent="0.35">
      <c r="A30" s="58" t="s">
        <v>73</v>
      </c>
      <c r="B30" s="47" t="s">
        <v>63</v>
      </c>
      <c r="C30" s="48">
        <v>4</v>
      </c>
      <c r="D30" s="48">
        <v>960</v>
      </c>
      <c r="E30" s="48">
        <v>960</v>
      </c>
      <c r="F30" s="49">
        <v>4.8000000000000001E-2</v>
      </c>
      <c r="G30" s="49">
        <v>1.49</v>
      </c>
      <c r="H30" s="49">
        <v>0.91</v>
      </c>
      <c r="I30" s="49">
        <v>1.375</v>
      </c>
      <c r="J30" s="49">
        <v>0.85699999999999998</v>
      </c>
      <c r="K30" s="49">
        <v>0.73440000000000005</v>
      </c>
      <c r="L30" s="49">
        <v>0.73380000000000001</v>
      </c>
      <c r="M30" s="49">
        <v>0.80869999999999997</v>
      </c>
      <c r="N30" s="49">
        <v>0.95699999999999996</v>
      </c>
      <c r="O30" s="49">
        <v>0.1043</v>
      </c>
      <c r="P30" s="49">
        <v>0.86109999999999998</v>
      </c>
      <c r="Q30" s="49">
        <v>0.4531</v>
      </c>
      <c r="R30" s="49">
        <v>1.0685</v>
      </c>
      <c r="S30" s="48">
        <v>713</v>
      </c>
      <c r="T30" s="48">
        <v>32</v>
      </c>
      <c r="U30" s="48">
        <v>83</v>
      </c>
      <c r="V30" s="48">
        <v>132</v>
      </c>
      <c r="W30" s="50" t="str">
        <f t="shared" si="0"/>
        <v>Guineo-CongoleanPERSIANN_CDR</v>
      </c>
    </row>
    <row r="31" spans="1:23" x14ac:dyDescent="0.35">
      <c r="A31" s="58" t="s">
        <v>73</v>
      </c>
      <c r="B31" s="51" t="s">
        <v>64</v>
      </c>
      <c r="C31" s="52">
        <v>4</v>
      </c>
      <c r="D31" s="52">
        <v>960</v>
      </c>
      <c r="E31" s="52">
        <v>960</v>
      </c>
      <c r="F31" s="53">
        <v>0.17199999999999999</v>
      </c>
      <c r="G31" s="53">
        <v>5.32</v>
      </c>
      <c r="H31" s="53">
        <v>1.1539999999999999</v>
      </c>
      <c r="I31" s="53">
        <v>1.768</v>
      </c>
      <c r="J31" s="53">
        <v>0.81059999999999999</v>
      </c>
      <c r="K31" s="53">
        <v>0.65710000000000002</v>
      </c>
      <c r="L31" s="53">
        <v>0.55979999999999996</v>
      </c>
      <c r="M31" s="53">
        <v>0.77170000000000005</v>
      </c>
      <c r="N31" s="53">
        <v>0.92479999999999996</v>
      </c>
      <c r="O31" s="53">
        <v>8.8599999999999998E-2</v>
      </c>
      <c r="P31" s="53">
        <v>0.84850000000000003</v>
      </c>
      <c r="Q31" s="53">
        <v>0.4541</v>
      </c>
      <c r="R31" s="53">
        <v>1.0147999999999999</v>
      </c>
      <c r="S31" s="52">
        <v>689</v>
      </c>
      <c r="T31" s="52">
        <v>56</v>
      </c>
      <c r="U31" s="52">
        <v>67</v>
      </c>
      <c r="V31" s="52">
        <v>148</v>
      </c>
      <c r="W31" s="54" t="str">
        <f t="shared" si="0"/>
        <v>Guineo-CongoleanTERRACLIMATE</v>
      </c>
    </row>
    <row r="32" spans="1:23" x14ac:dyDescent="0.35">
      <c r="A32" s="59" t="s">
        <v>75</v>
      </c>
      <c r="B32" s="47" t="s">
        <v>4</v>
      </c>
      <c r="C32" s="48">
        <v>16</v>
      </c>
      <c r="D32" s="48">
        <v>3840</v>
      </c>
      <c r="E32" s="48">
        <v>3840</v>
      </c>
      <c r="F32" s="49">
        <v>0.21299999999999999</v>
      </c>
      <c r="G32" s="49">
        <v>6.27</v>
      </c>
      <c r="H32" s="49">
        <v>1.0940000000000001</v>
      </c>
      <c r="I32" s="49">
        <v>2.3479999999999999</v>
      </c>
      <c r="J32" s="49">
        <v>0.89100000000000001</v>
      </c>
      <c r="K32" s="49">
        <v>0.79379999999999995</v>
      </c>
      <c r="L32" s="49">
        <v>0.77929999999999999</v>
      </c>
      <c r="M32" s="49">
        <v>0.87419999999999998</v>
      </c>
      <c r="N32" s="49">
        <v>0.95809999999999995</v>
      </c>
      <c r="O32" s="49">
        <v>9.1399999999999995E-2</v>
      </c>
      <c r="P32" s="49">
        <v>0.87390000000000001</v>
      </c>
      <c r="Q32" s="49">
        <v>0.73019999999999996</v>
      </c>
      <c r="R32" s="49">
        <v>1.0546</v>
      </c>
      <c r="S32" s="48">
        <v>2037</v>
      </c>
      <c r="T32" s="48">
        <v>89</v>
      </c>
      <c r="U32" s="48">
        <v>205</v>
      </c>
      <c r="V32" s="48">
        <v>1509</v>
      </c>
      <c r="W32" s="50" t="str">
        <f t="shared" si="0"/>
        <v>All West AfricaCHIRPS</v>
      </c>
    </row>
    <row r="33" spans="1:23" x14ac:dyDescent="0.35">
      <c r="A33" s="59" t="s">
        <v>75</v>
      </c>
      <c r="B33" s="51" t="s">
        <v>60</v>
      </c>
      <c r="C33" s="52">
        <v>16</v>
      </c>
      <c r="D33" s="52">
        <v>3840</v>
      </c>
      <c r="E33" s="52">
        <v>3840</v>
      </c>
      <c r="F33" s="53">
        <v>8.1000000000000003E-2</v>
      </c>
      <c r="G33" s="53">
        <v>2.4</v>
      </c>
      <c r="H33" s="53">
        <v>1.448</v>
      </c>
      <c r="I33" s="53">
        <v>2.8490000000000002</v>
      </c>
      <c r="J33" s="53">
        <v>0.84360000000000002</v>
      </c>
      <c r="K33" s="53">
        <v>0.71160000000000001</v>
      </c>
      <c r="L33" s="53">
        <v>0.67520000000000002</v>
      </c>
      <c r="M33" s="53">
        <v>0.83819999999999995</v>
      </c>
      <c r="N33" s="53">
        <v>0.92190000000000005</v>
      </c>
      <c r="O33" s="53">
        <v>0.1187</v>
      </c>
      <c r="P33" s="53">
        <v>0.82010000000000005</v>
      </c>
      <c r="Q33" s="53">
        <v>0.62890000000000001</v>
      </c>
      <c r="R33" s="53">
        <v>1.0461</v>
      </c>
      <c r="S33" s="52">
        <v>1960</v>
      </c>
      <c r="T33" s="52">
        <v>166</v>
      </c>
      <c r="U33" s="52">
        <v>264</v>
      </c>
      <c r="V33" s="52">
        <v>1450</v>
      </c>
      <c r="W33" s="54" t="str">
        <f t="shared" si="0"/>
        <v>All West AfricaERA5_LAND</v>
      </c>
    </row>
    <row r="34" spans="1:23" x14ac:dyDescent="0.35">
      <c r="A34" s="59" t="s">
        <v>75</v>
      </c>
      <c r="B34" s="47" t="s">
        <v>61</v>
      </c>
      <c r="C34" s="48">
        <v>16</v>
      </c>
      <c r="D34" s="48">
        <v>3840</v>
      </c>
      <c r="E34" s="48">
        <v>3840</v>
      </c>
      <c r="F34" s="49">
        <v>0.10100000000000001</v>
      </c>
      <c r="G34" s="49">
        <v>2.98</v>
      </c>
      <c r="H34" s="49">
        <v>0.89100000000000001</v>
      </c>
      <c r="I34" s="49">
        <v>1.859</v>
      </c>
      <c r="J34" s="49">
        <v>0.92859999999999998</v>
      </c>
      <c r="K34" s="49">
        <v>0.86240000000000006</v>
      </c>
      <c r="L34" s="49">
        <v>0.86170000000000002</v>
      </c>
      <c r="M34" s="49">
        <v>0.88419999999999999</v>
      </c>
      <c r="N34" s="49">
        <v>0.97319999999999995</v>
      </c>
      <c r="O34" s="49">
        <v>8.6499999999999994E-2</v>
      </c>
      <c r="P34" s="49">
        <v>0.89100000000000001</v>
      </c>
      <c r="Q34" s="49">
        <v>0.7631</v>
      </c>
      <c r="R34" s="49">
        <v>1.0653999999999999</v>
      </c>
      <c r="S34" s="48">
        <v>2069</v>
      </c>
      <c r="T34" s="48">
        <v>57</v>
      </c>
      <c r="U34" s="48">
        <v>196</v>
      </c>
      <c r="V34" s="48">
        <v>1518</v>
      </c>
      <c r="W34" s="50" t="str">
        <f t="shared" si="0"/>
        <v>All West AfricaGPM_IMERG</v>
      </c>
    </row>
    <row r="35" spans="1:23" x14ac:dyDescent="0.35">
      <c r="A35" s="59" t="s">
        <v>75</v>
      </c>
      <c r="B35" s="51" t="s">
        <v>62</v>
      </c>
      <c r="C35" s="52">
        <v>16</v>
      </c>
      <c r="D35" s="52">
        <v>3840</v>
      </c>
      <c r="E35" s="52">
        <v>3840</v>
      </c>
      <c r="F35" s="53">
        <v>-0.17399999999999999</v>
      </c>
      <c r="G35" s="53">
        <v>-5.14</v>
      </c>
      <c r="H35" s="53">
        <v>1.5289999999999999</v>
      </c>
      <c r="I35" s="53">
        <v>3.649</v>
      </c>
      <c r="J35" s="53">
        <v>0.74950000000000006</v>
      </c>
      <c r="K35" s="53">
        <v>0.56179999999999997</v>
      </c>
      <c r="L35" s="53">
        <v>0.46700000000000003</v>
      </c>
      <c r="M35" s="53">
        <v>0.73839999999999995</v>
      </c>
      <c r="N35" s="53">
        <v>0.92620000000000002</v>
      </c>
      <c r="O35" s="53">
        <v>8.6300000000000002E-2</v>
      </c>
      <c r="P35" s="53">
        <v>0.85160000000000002</v>
      </c>
      <c r="Q35" s="53">
        <v>0.69340000000000002</v>
      </c>
      <c r="R35" s="53">
        <v>1.0136000000000001</v>
      </c>
      <c r="S35" s="52">
        <v>1969</v>
      </c>
      <c r="T35" s="52">
        <v>157</v>
      </c>
      <c r="U35" s="52">
        <v>186</v>
      </c>
      <c r="V35" s="52">
        <v>1528</v>
      </c>
      <c r="W35" s="54" t="str">
        <f t="shared" si="0"/>
        <v>All West AfricaMERRA2</v>
      </c>
    </row>
    <row r="36" spans="1:23" x14ac:dyDescent="0.35">
      <c r="A36" s="59" t="s">
        <v>75</v>
      </c>
      <c r="B36" s="47" t="s">
        <v>63</v>
      </c>
      <c r="C36" s="48">
        <v>16</v>
      </c>
      <c r="D36" s="48">
        <v>3840</v>
      </c>
      <c r="E36" s="48">
        <v>3840</v>
      </c>
      <c r="F36" s="49">
        <v>-0.17699999999999999</v>
      </c>
      <c r="G36" s="49">
        <v>-5.23</v>
      </c>
      <c r="H36" s="49">
        <v>1.141</v>
      </c>
      <c r="I36" s="49">
        <v>2.5339999999999998</v>
      </c>
      <c r="J36" s="49">
        <v>0.86980000000000002</v>
      </c>
      <c r="K36" s="49">
        <v>0.75660000000000005</v>
      </c>
      <c r="L36" s="49">
        <v>0.74299999999999999</v>
      </c>
      <c r="M36" s="49">
        <v>0.7208</v>
      </c>
      <c r="N36" s="49">
        <v>0.95809999999999995</v>
      </c>
      <c r="O36" s="49">
        <v>9.8299999999999998E-2</v>
      </c>
      <c r="P36" s="49">
        <v>0.86750000000000005</v>
      </c>
      <c r="Q36" s="49">
        <v>0.71660000000000001</v>
      </c>
      <c r="R36" s="49">
        <v>1.0626</v>
      </c>
      <c r="S36" s="48">
        <v>2037</v>
      </c>
      <c r="T36" s="48">
        <v>89</v>
      </c>
      <c r="U36" s="48">
        <v>222</v>
      </c>
      <c r="V36" s="48">
        <v>1492</v>
      </c>
      <c r="W36" s="50" t="str">
        <f t="shared" si="0"/>
        <v>All West AfricaPERSIANN_CDR</v>
      </c>
    </row>
    <row r="37" spans="1:23" x14ac:dyDescent="0.35">
      <c r="A37" s="59" t="s">
        <v>75</v>
      </c>
      <c r="B37" s="51" t="s">
        <v>64</v>
      </c>
      <c r="C37" s="52">
        <v>16</v>
      </c>
      <c r="D37" s="52">
        <v>3840</v>
      </c>
      <c r="E37" s="52">
        <v>3840</v>
      </c>
      <c r="F37" s="53">
        <v>0.63700000000000001</v>
      </c>
      <c r="G37" s="53">
        <v>18.79</v>
      </c>
      <c r="H37" s="53">
        <v>1.482</v>
      </c>
      <c r="I37" s="53">
        <v>3.7589999999999999</v>
      </c>
      <c r="J37" s="53">
        <v>0.82899999999999996</v>
      </c>
      <c r="K37" s="53">
        <v>0.68720000000000003</v>
      </c>
      <c r="L37" s="53">
        <v>0.4345</v>
      </c>
      <c r="M37" s="53">
        <v>0.59499999999999997</v>
      </c>
      <c r="N37" s="53">
        <v>0.94679999999999997</v>
      </c>
      <c r="O37" s="53">
        <v>0.1017</v>
      </c>
      <c r="P37" s="53">
        <v>0.85509999999999997</v>
      </c>
      <c r="Q37" s="53">
        <v>0.69369999999999998</v>
      </c>
      <c r="R37" s="53">
        <v>1.0541</v>
      </c>
      <c r="S37" s="52">
        <v>2013</v>
      </c>
      <c r="T37" s="52">
        <v>113</v>
      </c>
      <c r="U37" s="52">
        <v>228</v>
      </c>
      <c r="V37" s="52">
        <v>1486</v>
      </c>
      <c r="W37" s="54" t="str">
        <f t="shared" si="0"/>
        <v>All West AfricaTERRACLIMATE</v>
      </c>
    </row>
  </sheetData>
  <autoFilter ref="A1:V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8888"/>
  </sheetPr>
  <dimension ref="A1:S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4" width="9" customWidth="1"/>
    <col min="15" max="15" width="11" customWidth="1"/>
    <col min="16" max="17" width="9" customWidth="1"/>
    <col min="18" max="18" width="10" customWidth="1"/>
    <col min="19" max="19" width="13" customWidth="1"/>
  </cols>
  <sheetData>
    <row r="1" spans="1:19" x14ac:dyDescent="0.35">
      <c r="A1" s="12" t="s">
        <v>104</v>
      </c>
      <c r="B1" s="12" t="s">
        <v>107</v>
      </c>
      <c r="C1" s="12" t="s">
        <v>108</v>
      </c>
      <c r="D1" s="12" t="s">
        <v>109</v>
      </c>
      <c r="E1" s="12" t="s">
        <v>110</v>
      </c>
      <c r="F1" s="12" t="s">
        <v>111</v>
      </c>
      <c r="G1" s="12" t="s">
        <v>50</v>
      </c>
      <c r="H1" s="12" t="s">
        <v>112</v>
      </c>
      <c r="I1" s="12" t="s">
        <v>113</v>
      </c>
      <c r="J1" s="12" t="s">
        <v>114</v>
      </c>
      <c r="K1" s="12" t="s">
        <v>115</v>
      </c>
      <c r="L1" s="12" t="s">
        <v>116</v>
      </c>
      <c r="M1" s="12" t="s">
        <v>117</v>
      </c>
      <c r="N1" s="12" t="s">
        <v>118</v>
      </c>
      <c r="O1" s="12" t="s">
        <v>119</v>
      </c>
      <c r="P1" s="12" t="s">
        <v>120</v>
      </c>
      <c r="Q1" s="12" t="s">
        <v>121</v>
      </c>
      <c r="R1" s="12" t="s">
        <v>122</v>
      </c>
      <c r="S1" s="12" t="s">
        <v>123</v>
      </c>
    </row>
    <row r="2" spans="1:19" x14ac:dyDescent="0.35">
      <c r="A2" s="60" t="s">
        <v>4</v>
      </c>
      <c r="B2" s="48">
        <v>3840</v>
      </c>
      <c r="C2" s="49">
        <v>0.21299999999999999</v>
      </c>
      <c r="D2" s="49">
        <v>6.27</v>
      </c>
      <c r="E2" s="49">
        <v>1.0940000000000001</v>
      </c>
      <c r="F2" s="49">
        <v>2.3479999999999999</v>
      </c>
      <c r="G2" s="49">
        <v>0.89100000000000001</v>
      </c>
      <c r="H2" s="49">
        <v>0.79379999999999995</v>
      </c>
      <c r="I2" s="49">
        <v>0.77929999999999999</v>
      </c>
      <c r="J2" s="49">
        <v>0.87419999999999998</v>
      </c>
      <c r="K2" s="49">
        <v>0.95809999999999995</v>
      </c>
      <c r="L2" s="49">
        <v>9.1399999999999995E-2</v>
      </c>
      <c r="M2" s="49">
        <v>0.87390000000000001</v>
      </c>
      <c r="N2" s="49">
        <v>0.73019999999999996</v>
      </c>
      <c r="O2" s="49">
        <v>1.0546</v>
      </c>
      <c r="P2" s="48">
        <v>2037</v>
      </c>
      <c r="Q2" s="48">
        <v>89</v>
      </c>
      <c r="R2" s="48">
        <v>205</v>
      </c>
      <c r="S2" s="48">
        <v>1509</v>
      </c>
    </row>
    <row r="3" spans="1:19" x14ac:dyDescent="0.35">
      <c r="A3" s="61" t="s">
        <v>60</v>
      </c>
      <c r="B3" s="52">
        <v>3840</v>
      </c>
      <c r="C3" s="53">
        <v>8.1000000000000003E-2</v>
      </c>
      <c r="D3" s="53">
        <v>2.4</v>
      </c>
      <c r="E3" s="53">
        <v>1.448</v>
      </c>
      <c r="F3" s="53">
        <v>2.8490000000000002</v>
      </c>
      <c r="G3" s="53">
        <v>0.84360000000000002</v>
      </c>
      <c r="H3" s="53">
        <v>0.71160000000000001</v>
      </c>
      <c r="I3" s="53">
        <v>0.67520000000000002</v>
      </c>
      <c r="J3" s="53">
        <v>0.83819999999999995</v>
      </c>
      <c r="K3" s="53">
        <v>0.92190000000000005</v>
      </c>
      <c r="L3" s="53">
        <v>0.1187</v>
      </c>
      <c r="M3" s="53">
        <v>0.82010000000000005</v>
      </c>
      <c r="N3" s="53">
        <v>0.62890000000000001</v>
      </c>
      <c r="O3" s="53">
        <v>1.0461</v>
      </c>
      <c r="P3" s="52">
        <v>1960</v>
      </c>
      <c r="Q3" s="52">
        <v>166</v>
      </c>
      <c r="R3" s="52">
        <v>264</v>
      </c>
      <c r="S3" s="52">
        <v>1450</v>
      </c>
    </row>
    <row r="4" spans="1:19" x14ac:dyDescent="0.35">
      <c r="A4" s="62" t="s">
        <v>61</v>
      </c>
      <c r="B4" s="48">
        <v>3840</v>
      </c>
      <c r="C4" s="49">
        <v>0.10100000000000001</v>
      </c>
      <c r="D4" s="49">
        <v>2.98</v>
      </c>
      <c r="E4" s="49">
        <v>0.89100000000000001</v>
      </c>
      <c r="F4" s="49">
        <v>1.859</v>
      </c>
      <c r="G4" s="49">
        <v>0.92859999999999998</v>
      </c>
      <c r="H4" s="49">
        <v>0.86240000000000006</v>
      </c>
      <c r="I4" s="49">
        <v>0.86170000000000002</v>
      </c>
      <c r="J4" s="49">
        <v>0.88419999999999999</v>
      </c>
      <c r="K4" s="49">
        <v>0.97319999999999995</v>
      </c>
      <c r="L4" s="49">
        <v>8.6499999999999994E-2</v>
      </c>
      <c r="M4" s="49">
        <v>0.89100000000000001</v>
      </c>
      <c r="N4" s="49">
        <v>0.7631</v>
      </c>
      <c r="O4" s="49">
        <v>1.0653999999999999</v>
      </c>
      <c r="P4" s="48">
        <v>2069</v>
      </c>
      <c r="Q4" s="48">
        <v>57</v>
      </c>
      <c r="R4" s="48">
        <v>196</v>
      </c>
      <c r="S4" s="48">
        <v>1518</v>
      </c>
    </row>
    <row r="5" spans="1:19" x14ac:dyDescent="0.35">
      <c r="A5" s="63" t="s">
        <v>62</v>
      </c>
      <c r="B5" s="52">
        <v>3840</v>
      </c>
      <c r="C5" s="53">
        <v>-0.17399999999999999</v>
      </c>
      <c r="D5" s="53">
        <v>-5.14</v>
      </c>
      <c r="E5" s="53">
        <v>1.5289999999999999</v>
      </c>
      <c r="F5" s="53">
        <v>3.649</v>
      </c>
      <c r="G5" s="53">
        <v>0.74950000000000006</v>
      </c>
      <c r="H5" s="53">
        <v>0.56179999999999997</v>
      </c>
      <c r="I5" s="53">
        <v>0.46700000000000003</v>
      </c>
      <c r="J5" s="53">
        <v>0.73839999999999995</v>
      </c>
      <c r="K5" s="53">
        <v>0.92620000000000002</v>
      </c>
      <c r="L5" s="53">
        <v>8.6300000000000002E-2</v>
      </c>
      <c r="M5" s="53">
        <v>0.85160000000000002</v>
      </c>
      <c r="N5" s="53">
        <v>0.69340000000000002</v>
      </c>
      <c r="O5" s="53">
        <v>1.0136000000000001</v>
      </c>
      <c r="P5" s="52">
        <v>1969</v>
      </c>
      <c r="Q5" s="52">
        <v>157</v>
      </c>
      <c r="R5" s="52">
        <v>186</v>
      </c>
      <c r="S5" s="52">
        <v>1528</v>
      </c>
    </row>
    <row r="6" spans="1:19" x14ac:dyDescent="0.35">
      <c r="A6" s="64" t="s">
        <v>63</v>
      </c>
      <c r="B6" s="48">
        <v>3840</v>
      </c>
      <c r="C6" s="49">
        <v>-0.17699999999999999</v>
      </c>
      <c r="D6" s="49">
        <v>-5.23</v>
      </c>
      <c r="E6" s="49">
        <v>1.141</v>
      </c>
      <c r="F6" s="49">
        <v>2.5339999999999998</v>
      </c>
      <c r="G6" s="49">
        <v>0.86980000000000002</v>
      </c>
      <c r="H6" s="49">
        <v>0.75660000000000005</v>
      </c>
      <c r="I6" s="49">
        <v>0.74299999999999999</v>
      </c>
      <c r="J6" s="49">
        <v>0.7208</v>
      </c>
      <c r="K6" s="49">
        <v>0.95809999999999995</v>
      </c>
      <c r="L6" s="49">
        <v>9.8299999999999998E-2</v>
      </c>
      <c r="M6" s="49">
        <v>0.86750000000000005</v>
      </c>
      <c r="N6" s="49">
        <v>0.71660000000000001</v>
      </c>
      <c r="O6" s="49">
        <v>1.0626</v>
      </c>
      <c r="P6" s="48">
        <v>2037</v>
      </c>
      <c r="Q6" s="48">
        <v>89</v>
      </c>
      <c r="R6" s="48">
        <v>222</v>
      </c>
      <c r="S6" s="48">
        <v>1492</v>
      </c>
    </row>
    <row r="7" spans="1:19" x14ac:dyDescent="0.35">
      <c r="A7" s="65" t="s">
        <v>64</v>
      </c>
      <c r="B7" s="52">
        <v>3840</v>
      </c>
      <c r="C7" s="53">
        <v>0.63700000000000001</v>
      </c>
      <c r="D7" s="53">
        <v>18.79</v>
      </c>
      <c r="E7" s="53">
        <v>1.482</v>
      </c>
      <c r="F7" s="53">
        <v>3.7589999999999999</v>
      </c>
      <c r="G7" s="53">
        <v>0.82899999999999996</v>
      </c>
      <c r="H7" s="53">
        <v>0.68720000000000003</v>
      </c>
      <c r="I7" s="53">
        <v>0.4345</v>
      </c>
      <c r="J7" s="53">
        <v>0.59499999999999997</v>
      </c>
      <c r="K7" s="53">
        <v>0.94679999999999997</v>
      </c>
      <c r="L7" s="53">
        <v>0.1017</v>
      </c>
      <c r="M7" s="53">
        <v>0.85509999999999997</v>
      </c>
      <c r="N7" s="53">
        <v>0.69369999999999998</v>
      </c>
      <c r="O7" s="53">
        <v>1.0541</v>
      </c>
      <c r="P7" s="52">
        <v>2013</v>
      </c>
      <c r="Q7" s="52">
        <v>113</v>
      </c>
      <c r="R7" s="52">
        <v>228</v>
      </c>
      <c r="S7" s="52">
        <v>1486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88888"/>
  </sheetPr>
  <dimension ref="A1:I181"/>
  <sheetViews>
    <sheetView workbookViewId="0">
      <pane ySplit="1" topLeftCell="A23" activePane="bottomLeft" state="frozen"/>
      <selection pane="bottomLeft"/>
    </sheetView>
  </sheetViews>
  <sheetFormatPr defaultRowHeight="14.5" x14ac:dyDescent="0.35"/>
  <cols>
    <col min="1" max="1" width="11" customWidth="1"/>
    <col min="2" max="7" width="9" customWidth="1"/>
    <col min="8" max="8" width="11" customWidth="1"/>
    <col min="9" max="9" width="12" customWidth="1"/>
  </cols>
  <sheetData>
    <row r="1" spans="1:9" x14ac:dyDescent="0.35">
      <c r="A1" s="12" t="s">
        <v>125</v>
      </c>
      <c r="B1" s="12" t="s">
        <v>126</v>
      </c>
      <c r="C1" s="12" t="s">
        <v>104</v>
      </c>
      <c r="D1" s="12" t="s">
        <v>115</v>
      </c>
      <c r="E1" s="12" t="s">
        <v>116</v>
      </c>
      <c r="F1" s="12" t="s">
        <v>117</v>
      </c>
      <c r="G1" s="12" t="s">
        <v>118</v>
      </c>
      <c r="H1" s="12" t="s">
        <v>119</v>
      </c>
      <c r="I1" s="12" t="s">
        <v>124</v>
      </c>
    </row>
    <row r="2" spans="1:9" x14ac:dyDescent="0.35">
      <c r="A2" s="49">
        <v>0.1</v>
      </c>
      <c r="B2" s="48" t="s">
        <v>66</v>
      </c>
      <c r="C2" s="48" t="s">
        <v>4</v>
      </c>
      <c r="D2" s="49">
        <v>0.87690000000000001</v>
      </c>
      <c r="E2" s="49">
        <v>0.1857</v>
      </c>
      <c r="F2" s="49">
        <v>0.73080000000000001</v>
      </c>
      <c r="G2" s="49">
        <v>0.64429999999999998</v>
      </c>
      <c r="H2" s="49">
        <v>1.0769</v>
      </c>
      <c r="I2" s="66" t="str">
        <f t="shared" ref="I2:I33" si="0">TEXT(A2,"0.0")&amp;B2&amp;C2</f>
        <v>0.1SaharianCHIRPS</v>
      </c>
    </row>
    <row r="3" spans="1:9" x14ac:dyDescent="0.35">
      <c r="A3" s="53">
        <v>0.1</v>
      </c>
      <c r="B3" s="52" t="s">
        <v>66</v>
      </c>
      <c r="C3" s="52" t="s">
        <v>60</v>
      </c>
      <c r="D3" s="53">
        <v>0.6462</v>
      </c>
      <c r="E3" s="53">
        <v>0.125</v>
      </c>
      <c r="F3" s="53">
        <v>0.59150000000000003</v>
      </c>
      <c r="G3" s="53">
        <v>0.5</v>
      </c>
      <c r="H3" s="53">
        <v>0.73850000000000005</v>
      </c>
      <c r="I3" s="67" t="str">
        <f t="shared" si="0"/>
        <v>0.1SaharianERA5_LAND</v>
      </c>
    </row>
    <row r="4" spans="1:9" x14ac:dyDescent="0.35">
      <c r="A4" s="49">
        <v>0.1</v>
      </c>
      <c r="B4" s="48" t="s">
        <v>66</v>
      </c>
      <c r="C4" s="48" t="s">
        <v>61</v>
      </c>
      <c r="D4" s="49">
        <v>0.98460000000000003</v>
      </c>
      <c r="E4" s="49">
        <v>0.2</v>
      </c>
      <c r="F4" s="49">
        <v>0.79010000000000002</v>
      </c>
      <c r="G4" s="49">
        <v>0.71350000000000002</v>
      </c>
      <c r="H4" s="49">
        <v>1.2307999999999999</v>
      </c>
      <c r="I4" s="66" t="str">
        <f t="shared" si="0"/>
        <v>0.1SaharianGPM_IMERG</v>
      </c>
    </row>
    <row r="5" spans="1:9" x14ac:dyDescent="0.35">
      <c r="A5" s="53">
        <v>0.1</v>
      </c>
      <c r="B5" s="52" t="s">
        <v>66</v>
      </c>
      <c r="C5" s="52" t="s">
        <v>62</v>
      </c>
      <c r="D5" s="53">
        <v>0.9385</v>
      </c>
      <c r="E5" s="53">
        <v>0.21790000000000001</v>
      </c>
      <c r="F5" s="53">
        <v>0.74390000000000001</v>
      </c>
      <c r="G5" s="53">
        <v>0.65500000000000003</v>
      </c>
      <c r="H5" s="53">
        <v>1.2</v>
      </c>
      <c r="I5" s="67" t="str">
        <f t="shared" si="0"/>
        <v>0.1SaharianMERRA2</v>
      </c>
    </row>
    <row r="6" spans="1:9" x14ac:dyDescent="0.35">
      <c r="A6" s="49">
        <v>0.1</v>
      </c>
      <c r="B6" s="48" t="s">
        <v>66</v>
      </c>
      <c r="C6" s="48" t="s">
        <v>63</v>
      </c>
      <c r="D6" s="49">
        <v>0.95379999999999998</v>
      </c>
      <c r="E6" s="49">
        <v>0.17330000000000001</v>
      </c>
      <c r="F6" s="49">
        <v>0.79490000000000005</v>
      </c>
      <c r="G6" s="49">
        <v>0.72260000000000002</v>
      </c>
      <c r="H6" s="49">
        <v>1.1537999999999999</v>
      </c>
      <c r="I6" s="66" t="str">
        <f t="shared" si="0"/>
        <v>0.1SaharianPERSIANN_CDR</v>
      </c>
    </row>
    <row r="7" spans="1:9" x14ac:dyDescent="0.35">
      <c r="A7" s="53">
        <v>0.1</v>
      </c>
      <c r="B7" s="52" t="s">
        <v>66</v>
      </c>
      <c r="C7" s="52" t="s">
        <v>64</v>
      </c>
      <c r="D7" s="53">
        <v>0.89229999999999998</v>
      </c>
      <c r="E7" s="53">
        <v>0.26579999999999998</v>
      </c>
      <c r="F7" s="53">
        <v>0.6744</v>
      </c>
      <c r="G7" s="53">
        <v>0.56659999999999999</v>
      </c>
      <c r="H7" s="53">
        <v>1.2154</v>
      </c>
      <c r="I7" s="67" t="str">
        <f t="shared" si="0"/>
        <v>0.1SaharianTERRACLIMATE</v>
      </c>
    </row>
    <row r="8" spans="1:9" x14ac:dyDescent="0.35">
      <c r="A8" s="49">
        <v>0.1</v>
      </c>
      <c r="B8" s="48" t="s">
        <v>3</v>
      </c>
      <c r="C8" s="48" t="s">
        <v>4</v>
      </c>
      <c r="D8" s="49">
        <v>0.96319999999999995</v>
      </c>
      <c r="E8" s="49">
        <v>6.0400000000000002E-2</v>
      </c>
      <c r="F8" s="49">
        <v>0.90710000000000002</v>
      </c>
      <c r="G8" s="49">
        <v>0.82099999999999995</v>
      </c>
      <c r="H8" s="49">
        <v>1.0250999999999999</v>
      </c>
      <c r="I8" s="66" t="str">
        <f t="shared" si="0"/>
        <v>0.1SahelianCHIRPS</v>
      </c>
    </row>
    <row r="9" spans="1:9" x14ac:dyDescent="0.35">
      <c r="A9" s="53">
        <v>0.1</v>
      </c>
      <c r="B9" s="52" t="s">
        <v>3</v>
      </c>
      <c r="C9" s="52" t="s">
        <v>60</v>
      </c>
      <c r="D9" s="53">
        <v>0.9264</v>
      </c>
      <c r="E9" s="53">
        <v>4.9700000000000001E-2</v>
      </c>
      <c r="F9" s="53">
        <v>0.88360000000000005</v>
      </c>
      <c r="G9" s="53">
        <v>0.78300000000000003</v>
      </c>
      <c r="H9" s="53">
        <v>0.97489999999999999</v>
      </c>
      <c r="I9" s="67" t="str">
        <f t="shared" si="0"/>
        <v>0.1SahelianERA5_LAND</v>
      </c>
    </row>
    <row r="10" spans="1:9" x14ac:dyDescent="0.35">
      <c r="A10" s="49">
        <v>0.1</v>
      </c>
      <c r="B10" s="48" t="s">
        <v>3</v>
      </c>
      <c r="C10" s="48" t="s">
        <v>61</v>
      </c>
      <c r="D10" s="49">
        <v>0.99829999999999997</v>
      </c>
      <c r="E10" s="49">
        <v>0.1246</v>
      </c>
      <c r="F10" s="49">
        <v>0.87409999999999999</v>
      </c>
      <c r="G10" s="49">
        <v>0.74939999999999996</v>
      </c>
      <c r="H10" s="49">
        <v>1.1405000000000001</v>
      </c>
      <c r="I10" s="66" t="str">
        <f t="shared" si="0"/>
        <v>0.1SahelianGPM_IMERG</v>
      </c>
    </row>
    <row r="11" spans="1:9" x14ac:dyDescent="0.35">
      <c r="A11" s="53">
        <v>0.1</v>
      </c>
      <c r="B11" s="52" t="s">
        <v>3</v>
      </c>
      <c r="C11" s="52" t="s">
        <v>62</v>
      </c>
      <c r="D11" s="53">
        <v>0.98329999999999995</v>
      </c>
      <c r="E11" s="53">
        <v>0.18110000000000001</v>
      </c>
      <c r="F11" s="53">
        <v>0.80769999999999997</v>
      </c>
      <c r="G11" s="53">
        <v>0.62180000000000002</v>
      </c>
      <c r="H11" s="53">
        <v>1.2007000000000001</v>
      </c>
      <c r="I11" s="67" t="str">
        <f t="shared" si="0"/>
        <v>0.1SahelianMERRA2</v>
      </c>
    </row>
    <row r="12" spans="1:9" x14ac:dyDescent="0.35">
      <c r="A12" s="49">
        <v>0.1</v>
      </c>
      <c r="B12" s="48" t="s">
        <v>3</v>
      </c>
      <c r="C12" s="48" t="s">
        <v>63</v>
      </c>
      <c r="D12" s="49">
        <v>0.98829999999999996</v>
      </c>
      <c r="E12" s="49">
        <v>0.1593</v>
      </c>
      <c r="F12" s="49">
        <v>0.83240000000000003</v>
      </c>
      <c r="G12" s="49">
        <v>0.66910000000000003</v>
      </c>
      <c r="H12" s="49">
        <v>1.1756</v>
      </c>
      <c r="I12" s="66" t="str">
        <f t="shared" si="0"/>
        <v>0.1SahelianPERSIANN_CDR</v>
      </c>
    </row>
    <row r="13" spans="1:9" x14ac:dyDescent="0.35">
      <c r="A13" s="53">
        <v>0.1</v>
      </c>
      <c r="B13" s="52" t="s">
        <v>3</v>
      </c>
      <c r="C13" s="52" t="s">
        <v>64</v>
      </c>
      <c r="D13" s="53">
        <v>0.97160000000000002</v>
      </c>
      <c r="E13" s="53">
        <v>9.9199999999999997E-2</v>
      </c>
      <c r="F13" s="53">
        <v>0.87760000000000005</v>
      </c>
      <c r="G13" s="53">
        <v>0.76219999999999999</v>
      </c>
      <c r="H13" s="53">
        <v>1.0786</v>
      </c>
      <c r="I13" s="67" t="str">
        <f t="shared" si="0"/>
        <v>0.1SahelianTERRACLIMATE</v>
      </c>
    </row>
    <row r="14" spans="1:9" x14ac:dyDescent="0.35">
      <c r="A14" s="49">
        <v>0.1</v>
      </c>
      <c r="B14" s="48" t="s">
        <v>69</v>
      </c>
      <c r="C14" s="48" t="s">
        <v>4</v>
      </c>
      <c r="D14" s="49">
        <v>0.98140000000000005</v>
      </c>
      <c r="E14" s="49">
        <v>0.1754</v>
      </c>
      <c r="F14" s="49">
        <v>0.81189999999999996</v>
      </c>
      <c r="G14" s="49">
        <v>0.54190000000000005</v>
      </c>
      <c r="H14" s="49">
        <v>1.1902999999999999</v>
      </c>
      <c r="I14" s="66" t="str">
        <f t="shared" si="0"/>
        <v>0.1SoudanianCHIRPS</v>
      </c>
    </row>
    <row r="15" spans="1:9" x14ac:dyDescent="0.35">
      <c r="A15" s="53">
        <v>0.1</v>
      </c>
      <c r="B15" s="52" t="s">
        <v>69</v>
      </c>
      <c r="C15" s="52" t="s">
        <v>60</v>
      </c>
      <c r="D15" s="53">
        <v>0.96519999999999995</v>
      </c>
      <c r="E15" s="53">
        <v>0.14050000000000001</v>
      </c>
      <c r="F15" s="53">
        <v>0.8337</v>
      </c>
      <c r="G15" s="53">
        <v>0.60340000000000005</v>
      </c>
      <c r="H15" s="53">
        <v>1.123</v>
      </c>
      <c r="I15" s="67" t="str">
        <f t="shared" si="0"/>
        <v>0.1SoudanianERA5_LAND</v>
      </c>
    </row>
    <row r="16" spans="1:9" x14ac:dyDescent="0.35">
      <c r="A16" s="49">
        <v>0.1</v>
      </c>
      <c r="B16" s="48" t="s">
        <v>69</v>
      </c>
      <c r="C16" s="48" t="s">
        <v>61</v>
      </c>
      <c r="D16" s="49">
        <v>1</v>
      </c>
      <c r="E16" s="49">
        <v>0.19139999999999999</v>
      </c>
      <c r="F16" s="49">
        <v>0.80859999999999999</v>
      </c>
      <c r="G16" s="49">
        <v>0.5232</v>
      </c>
      <c r="H16" s="49">
        <v>1.2366999999999999</v>
      </c>
      <c r="I16" s="66" t="str">
        <f t="shared" si="0"/>
        <v>0.1SoudanianGPM_IMERG</v>
      </c>
    </row>
    <row r="17" spans="1:9" x14ac:dyDescent="0.35">
      <c r="A17" s="53">
        <v>0.1</v>
      </c>
      <c r="B17" s="52" t="s">
        <v>69</v>
      </c>
      <c r="C17" s="52" t="s">
        <v>62</v>
      </c>
      <c r="D17" s="53">
        <v>0.98140000000000005</v>
      </c>
      <c r="E17" s="53">
        <v>9.8100000000000007E-2</v>
      </c>
      <c r="F17" s="53">
        <v>0.88680000000000003</v>
      </c>
      <c r="G17" s="53">
        <v>0.7248</v>
      </c>
      <c r="H17" s="53">
        <v>1.0882000000000001</v>
      </c>
      <c r="I17" s="67" t="str">
        <f t="shared" si="0"/>
        <v>0.1SoudanianMERRA2</v>
      </c>
    </row>
    <row r="18" spans="1:9" x14ac:dyDescent="0.35">
      <c r="A18" s="49">
        <v>0.1</v>
      </c>
      <c r="B18" s="48" t="s">
        <v>69</v>
      </c>
      <c r="C18" s="48" t="s">
        <v>63</v>
      </c>
      <c r="D18" s="49">
        <v>0.98380000000000001</v>
      </c>
      <c r="E18" s="49">
        <v>0.2319</v>
      </c>
      <c r="F18" s="49">
        <v>0.75849999999999995</v>
      </c>
      <c r="G18" s="49">
        <v>0.40939999999999999</v>
      </c>
      <c r="H18" s="49">
        <v>1.2806999999999999</v>
      </c>
      <c r="I18" s="66" t="str">
        <f t="shared" si="0"/>
        <v>0.1SoudanianPERSIANN_CDR</v>
      </c>
    </row>
    <row r="19" spans="1:9" x14ac:dyDescent="0.35">
      <c r="A19" s="53">
        <v>0.1</v>
      </c>
      <c r="B19" s="52" t="s">
        <v>69</v>
      </c>
      <c r="C19" s="52" t="s">
        <v>64</v>
      </c>
      <c r="D19" s="53">
        <v>0.95820000000000005</v>
      </c>
      <c r="E19" s="53">
        <v>0.1041</v>
      </c>
      <c r="F19" s="53">
        <v>0.86219999999999997</v>
      </c>
      <c r="G19" s="53">
        <v>0.67490000000000006</v>
      </c>
      <c r="H19" s="53">
        <v>1.0696000000000001</v>
      </c>
      <c r="I19" s="67" t="str">
        <f t="shared" si="0"/>
        <v>0.1SoudanianTERRACLIMATE</v>
      </c>
    </row>
    <row r="20" spans="1:9" x14ac:dyDescent="0.35">
      <c r="A20" s="49">
        <v>0.1</v>
      </c>
      <c r="B20" s="48" t="s">
        <v>71</v>
      </c>
      <c r="C20" s="48" t="s">
        <v>4</v>
      </c>
      <c r="D20" s="49">
        <v>1</v>
      </c>
      <c r="E20" s="49">
        <v>0.13220000000000001</v>
      </c>
      <c r="F20" s="49">
        <v>0.86780000000000002</v>
      </c>
      <c r="G20" s="49">
        <v>0.17949999999999999</v>
      </c>
      <c r="H20" s="49">
        <v>1.1523000000000001</v>
      </c>
      <c r="I20" s="66" t="str">
        <f t="shared" si="0"/>
        <v>0.1GuineanCHIRPS</v>
      </c>
    </row>
    <row r="21" spans="1:9" x14ac:dyDescent="0.35">
      <c r="A21" s="53">
        <v>0.1</v>
      </c>
      <c r="B21" s="52" t="s">
        <v>71</v>
      </c>
      <c r="C21" s="52" t="s">
        <v>60</v>
      </c>
      <c r="D21" s="53">
        <v>0.99670000000000003</v>
      </c>
      <c r="E21" s="53">
        <v>0.14000000000000001</v>
      </c>
      <c r="F21" s="53">
        <v>0.85750000000000004</v>
      </c>
      <c r="G21" s="53">
        <v>0.1288</v>
      </c>
      <c r="H21" s="53">
        <v>1.1589</v>
      </c>
      <c r="I21" s="67" t="str">
        <f t="shared" si="0"/>
        <v>0.1GuineanERA5_LAND</v>
      </c>
    </row>
    <row r="22" spans="1:9" x14ac:dyDescent="0.35">
      <c r="A22" s="49">
        <v>0.1</v>
      </c>
      <c r="B22" s="48" t="s">
        <v>71</v>
      </c>
      <c r="C22" s="48" t="s">
        <v>61</v>
      </c>
      <c r="D22" s="49">
        <v>1</v>
      </c>
      <c r="E22" s="49">
        <v>0.1371</v>
      </c>
      <c r="F22" s="49">
        <v>0.8629</v>
      </c>
      <c r="G22" s="49">
        <v>0.14879999999999999</v>
      </c>
      <c r="H22" s="49">
        <v>1.1589</v>
      </c>
      <c r="I22" s="66" t="str">
        <f t="shared" si="0"/>
        <v>0.1GuineanGPM_IMERG</v>
      </c>
    </row>
    <row r="23" spans="1:9" x14ac:dyDescent="0.35">
      <c r="A23" s="53">
        <v>0.1</v>
      </c>
      <c r="B23" s="52" t="s">
        <v>71</v>
      </c>
      <c r="C23" s="52" t="s">
        <v>62</v>
      </c>
      <c r="D23" s="53">
        <v>0.98340000000000005</v>
      </c>
      <c r="E23" s="53">
        <v>5.4100000000000002E-2</v>
      </c>
      <c r="F23" s="53">
        <v>0.93100000000000005</v>
      </c>
      <c r="G23" s="53">
        <v>0.60419999999999996</v>
      </c>
      <c r="H23" s="53">
        <v>1.0397000000000001</v>
      </c>
      <c r="I23" s="67" t="str">
        <f t="shared" si="0"/>
        <v>0.1GuineanMERRA2</v>
      </c>
    </row>
    <row r="24" spans="1:9" x14ac:dyDescent="0.35">
      <c r="A24" s="49">
        <v>0.1</v>
      </c>
      <c r="B24" s="48" t="s">
        <v>71</v>
      </c>
      <c r="C24" s="48" t="s">
        <v>63</v>
      </c>
      <c r="D24" s="49">
        <v>0.99670000000000003</v>
      </c>
      <c r="E24" s="49">
        <v>0.14000000000000001</v>
      </c>
      <c r="F24" s="49">
        <v>0.85750000000000004</v>
      </c>
      <c r="G24" s="49">
        <v>0.1288</v>
      </c>
      <c r="H24" s="49">
        <v>1.1589</v>
      </c>
      <c r="I24" s="66" t="str">
        <f t="shared" si="0"/>
        <v>0.1GuineanPERSIANN_CDR</v>
      </c>
    </row>
    <row r="25" spans="1:9" x14ac:dyDescent="0.35">
      <c r="A25" s="53">
        <v>0.1</v>
      </c>
      <c r="B25" s="52" t="s">
        <v>71</v>
      </c>
      <c r="C25" s="52" t="s">
        <v>64</v>
      </c>
      <c r="D25" s="53">
        <v>0.995</v>
      </c>
      <c r="E25" s="53">
        <v>0.1487</v>
      </c>
      <c r="F25" s="53">
        <v>0.84770000000000001</v>
      </c>
      <c r="G25" s="53">
        <v>7.4899999999999994E-2</v>
      </c>
      <c r="H25" s="53">
        <v>1.1689000000000001</v>
      </c>
      <c r="I25" s="67" t="str">
        <f t="shared" si="0"/>
        <v>0.1GuineanTERRACLIMATE</v>
      </c>
    </row>
    <row r="26" spans="1:9" x14ac:dyDescent="0.35">
      <c r="A26" s="49">
        <v>0.1</v>
      </c>
      <c r="B26" s="48" t="s">
        <v>73</v>
      </c>
      <c r="C26" s="48" t="s">
        <v>4</v>
      </c>
      <c r="D26" s="49">
        <v>1</v>
      </c>
      <c r="E26" s="49">
        <v>7.2300000000000003E-2</v>
      </c>
      <c r="F26" s="49">
        <v>0.92769999999999997</v>
      </c>
      <c r="G26" s="49">
        <v>7.4200000000000002E-2</v>
      </c>
      <c r="H26" s="49">
        <v>1.0780000000000001</v>
      </c>
      <c r="I26" s="66" t="str">
        <f t="shared" si="0"/>
        <v>0.1Guineo-CongoleanCHIRPS</v>
      </c>
    </row>
    <row r="27" spans="1:9" x14ac:dyDescent="0.35">
      <c r="A27" s="53">
        <v>0.1</v>
      </c>
      <c r="B27" s="52" t="s">
        <v>73</v>
      </c>
      <c r="C27" s="52" t="s">
        <v>60</v>
      </c>
      <c r="D27" s="53">
        <v>1</v>
      </c>
      <c r="E27" s="53">
        <v>7.5200000000000003E-2</v>
      </c>
      <c r="F27" s="53">
        <v>0.92479999999999996</v>
      </c>
      <c r="G27" s="53">
        <v>3.6999999999999998E-2</v>
      </c>
      <c r="H27" s="53">
        <v>1.0813999999999999</v>
      </c>
      <c r="I27" s="67" t="str">
        <f t="shared" si="0"/>
        <v>0.1Guineo-CongoleanERA5_LAND</v>
      </c>
    </row>
    <row r="28" spans="1:9" x14ac:dyDescent="0.35">
      <c r="A28" s="49">
        <v>0.1</v>
      </c>
      <c r="B28" s="48" t="s">
        <v>73</v>
      </c>
      <c r="C28" s="48" t="s">
        <v>61</v>
      </c>
      <c r="D28" s="49">
        <v>1</v>
      </c>
      <c r="E28" s="49">
        <v>5.2499999999999998E-2</v>
      </c>
      <c r="F28" s="49">
        <v>0.94750000000000001</v>
      </c>
      <c r="G28" s="49">
        <v>0.32850000000000001</v>
      </c>
      <c r="H28" s="49">
        <v>1.0553999999999999</v>
      </c>
      <c r="I28" s="66" t="str">
        <f t="shared" si="0"/>
        <v>0.1Guineo-CongoleanGPM_IMERG</v>
      </c>
    </row>
    <row r="29" spans="1:9" x14ac:dyDescent="0.35">
      <c r="A29" s="53">
        <v>0.1</v>
      </c>
      <c r="B29" s="52" t="s">
        <v>73</v>
      </c>
      <c r="C29" s="52" t="s">
        <v>62</v>
      </c>
      <c r="D29" s="53">
        <v>0.99890000000000001</v>
      </c>
      <c r="E29" s="53">
        <v>5.8599999999999999E-2</v>
      </c>
      <c r="F29" s="53">
        <v>0.94040000000000001</v>
      </c>
      <c r="G29" s="53">
        <v>0.24690000000000001</v>
      </c>
      <c r="H29" s="53">
        <v>1.0609999999999999</v>
      </c>
      <c r="I29" s="67" t="str">
        <f t="shared" si="0"/>
        <v>0.1Guineo-CongoleanMERRA2</v>
      </c>
    </row>
    <row r="30" spans="1:9" x14ac:dyDescent="0.35">
      <c r="A30" s="49">
        <v>0.1</v>
      </c>
      <c r="B30" s="48" t="s">
        <v>73</v>
      </c>
      <c r="C30" s="48" t="s">
        <v>63</v>
      </c>
      <c r="D30" s="49">
        <v>0.99660000000000004</v>
      </c>
      <c r="E30" s="49">
        <v>6.9599999999999995E-2</v>
      </c>
      <c r="F30" s="49">
        <v>0.9274</v>
      </c>
      <c r="G30" s="49">
        <v>0.1046</v>
      </c>
      <c r="H30" s="49">
        <v>1.0711999999999999</v>
      </c>
      <c r="I30" s="66" t="str">
        <f t="shared" si="0"/>
        <v>0.1Guineo-CongoleanPERSIANN_CDR</v>
      </c>
    </row>
    <row r="31" spans="1:9" x14ac:dyDescent="0.35">
      <c r="A31" s="53">
        <v>0.1</v>
      </c>
      <c r="B31" s="52" t="s">
        <v>73</v>
      </c>
      <c r="C31" s="52" t="s">
        <v>64</v>
      </c>
      <c r="D31" s="53">
        <v>0.99209999999999998</v>
      </c>
      <c r="E31" s="53">
        <v>5.3900000000000003E-2</v>
      </c>
      <c r="F31" s="53">
        <v>0.93899999999999995</v>
      </c>
      <c r="G31" s="53">
        <v>0.28299999999999997</v>
      </c>
      <c r="H31" s="53">
        <v>1.0486</v>
      </c>
      <c r="I31" s="67" t="str">
        <f t="shared" si="0"/>
        <v>0.1Guineo-CongoleanTERRACLIMATE</v>
      </c>
    </row>
    <row r="32" spans="1:9" x14ac:dyDescent="0.35">
      <c r="A32" s="49">
        <v>0.1</v>
      </c>
      <c r="B32" s="48" t="s">
        <v>75</v>
      </c>
      <c r="C32" s="48" t="s">
        <v>4</v>
      </c>
      <c r="D32" s="49">
        <v>0.98529999999999995</v>
      </c>
      <c r="E32" s="49">
        <v>0.10580000000000001</v>
      </c>
      <c r="F32" s="49">
        <v>0.88249999999999995</v>
      </c>
      <c r="G32" s="49">
        <v>0.65039999999999998</v>
      </c>
      <c r="H32" s="49">
        <v>1.1017999999999999</v>
      </c>
      <c r="I32" s="66" t="str">
        <f t="shared" si="0"/>
        <v>0.1All West AfricaCHIRPS</v>
      </c>
    </row>
    <row r="33" spans="1:9" x14ac:dyDescent="0.35">
      <c r="A33" s="53">
        <v>0.1</v>
      </c>
      <c r="B33" s="52" t="s">
        <v>75</v>
      </c>
      <c r="C33" s="52" t="s">
        <v>60</v>
      </c>
      <c r="D33" s="53">
        <v>0.96750000000000003</v>
      </c>
      <c r="E33" s="53">
        <v>9.8500000000000004E-2</v>
      </c>
      <c r="F33" s="53">
        <v>0.875</v>
      </c>
      <c r="G33" s="53">
        <v>0.63990000000000002</v>
      </c>
      <c r="H33" s="53">
        <v>1.0731999999999999</v>
      </c>
      <c r="I33" s="67" t="str">
        <f t="shared" si="0"/>
        <v>0.1All West AfricaERA5_LAND</v>
      </c>
    </row>
    <row r="34" spans="1:9" x14ac:dyDescent="0.35">
      <c r="A34" s="49">
        <v>0.1</v>
      </c>
      <c r="B34" s="48" t="s">
        <v>75</v>
      </c>
      <c r="C34" s="48" t="s">
        <v>61</v>
      </c>
      <c r="D34" s="49">
        <v>0.99919999999999998</v>
      </c>
      <c r="E34" s="49">
        <v>0.1188</v>
      </c>
      <c r="F34" s="49">
        <v>0.88060000000000005</v>
      </c>
      <c r="G34" s="49">
        <v>0.63570000000000004</v>
      </c>
      <c r="H34" s="49">
        <v>1.1339999999999999</v>
      </c>
      <c r="I34" s="66" t="str">
        <f t="shared" ref="I34:I65" si="1">TEXT(A34,"0.0")&amp;B34&amp;C34</f>
        <v>0.1All West AfricaGPM_IMERG</v>
      </c>
    </row>
    <row r="35" spans="1:9" x14ac:dyDescent="0.35">
      <c r="A35" s="53">
        <v>0.1</v>
      </c>
      <c r="B35" s="52" t="s">
        <v>75</v>
      </c>
      <c r="C35" s="52" t="s">
        <v>62</v>
      </c>
      <c r="D35" s="53">
        <v>0.98719999999999997</v>
      </c>
      <c r="E35" s="53">
        <v>9.9599999999999994E-2</v>
      </c>
      <c r="F35" s="53">
        <v>0.8901</v>
      </c>
      <c r="G35" s="53">
        <v>0.67190000000000005</v>
      </c>
      <c r="H35" s="53">
        <v>1.0964</v>
      </c>
      <c r="I35" s="67" t="str">
        <f t="shared" si="1"/>
        <v>0.1All West AfricaMERRA2</v>
      </c>
    </row>
    <row r="36" spans="1:9" x14ac:dyDescent="0.35">
      <c r="A36" s="49">
        <v>0.1</v>
      </c>
      <c r="B36" s="48" t="s">
        <v>75</v>
      </c>
      <c r="C36" s="48" t="s">
        <v>63</v>
      </c>
      <c r="D36" s="49">
        <v>0.99150000000000005</v>
      </c>
      <c r="E36" s="49">
        <v>0.14000000000000001</v>
      </c>
      <c r="F36" s="49">
        <v>0.85370000000000001</v>
      </c>
      <c r="G36" s="49">
        <v>0.55959999999999999</v>
      </c>
      <c r="H36" s="49">
        <v>1.1529</v>
      </c>
      <c r="I36" s="66" t="str">
        <f t="shared" si="1"/>
        <v>0.1All West AfricaPERSIANN_CDR</v>
      </c>
    </row>
    <row r="37" spans="1:9" x14ac:dyDescent="0.35">
      <c r="A37" s="53">
        <v>0.1</v>
      </c>
      <c r="B37" s="52" t="s">
        <v>75</v>
      </c>
      <c r="C37" s="52" t="s">
        <v>64</v>
      </c>
      <c r="D37" s="53">
        <v>0.97989999999999999</v>
      </c>
      <c r="E37" s="53">
        <v>0.1022</v>
      </c>
      <c r="F37" s="53">
        <v>0.88160000000000005</v>
      </c>
      <c r="G37" s="53">
        <v>0.6512</v>
      </c>
      <c r="H37" s="53">
        <v>1.0913999999999999</v>
      </c>
      <c r="I37" s="67" t="str">
        <f t="shared" si="1"/>
        <v>0.1All West AfricaTERRACLIMATE</v>
      </c>
    </row>
    <row r="38" spans="1:9" x14ac:dyDescent="0.35">
      <c r="A38" s="49">
        <v>0.5</v>
      </c>
      <c r="B38" s="48" t="s">
        <v>66</v>
      </c>
      <c r="C38" s="48" t="s">
        <v>4</v>
      </c>
      <c r="D38" s="49">
        <v>0.76919999999999999</v>
      </c>
      <c r="E38" s="49">
        <v>0.30230000000000001</v>
      </c>
      <c r="F38" s="49">
        <v>0.57689999999999997</v>
      </c>
      <c r="G38" s="49">
        <v>0.51119999999999999</v>
      </c>
      <c r="H38" s="49">
        <v>1.1026</v>
      </c>
      <c r="I38" s="66" t="str">
        <f t="shared" si="1"/>
        <v>0.5SaharianCHIRPS</v>
      </c>
    </row>
    <row r="39" spans="1:9" x14ac:dyDescent="0.35">
      <c r="A39" s="53">
        <v>0.5</v>
      </c>
      <c r="B39" s="52" t="s">
        <v>66</v>
      </c>
      <c r="C39" s="52" t="s">
        <v>60</v>
      </c>
      <c r="D39" s="53">
        <v>0.46150000000000002</v>
      </c>
      <c r="E39" s="53">
        <v>0.18179999999999999</v>
      </c>
      <c r="F39" s="53">
        <v>0.41860000000000003</v>
      </c>
      <c r="G39" s="53">
        <v>0.3659</v>
      </c>
      <c r="H39" s="53">
        <v>0.56410000000000005</v>
      </c>
      <c r="I39" s="67" t="str">
        <f t="shared" si="1"/>
        <v>0.5SaharianERA5_LAND</v>
      </c>
    </row>
    <row r="40" spans="1:9" x14ac:dyDescent="0.35">
      <c r="A40" s="49">
        <v>0.5</v>
      </c>
      <c r="B40" s="48" t="s">
        <v>66</v>
      </c>
      <c r="C40" s="48" t="s">
        <v>61</v>
      </c>
      <c r="D40" s="49">
        <v>0.94869999999999999</v>
      </c>
      <c r="E40" s="49">
        <v>0.26</v>
      </c>
      <c r="F40" s="49">
        <v>0.71150000000000002</v>
      </c>
      <c r="G40" s="49">
        <v>0.65810000000000002</v>
      </c>
      <c r="H40" s="49">
        <v>1.2821</v>
      </c>
      <c r="I40" s="66" t="str">
        <f t="shared" si="1"/>
        <v>0.5SaharianGPM_IMERG</v>
      </c>
    </row>
    <row r="41" spans="1:9" x14ac:dyDescent="0.35">
      <c r="A41" s="53">
        <v>0.5</v>
      </c>
      <c r="B41" s="52" t="s">
        <v>66</v>
      </c>
      <c r="C41" s="52" t="s">
        <v>62</v>
      </c>
      <c r="D41" s="53">
        <v>0.89739999999999998</v>
      </c>
      <c r="E41" s="53">
        <v>0.31369999999999998</v>
      </c>
      <c r="F41" s="53">
        <v>0.63639999999999997</v>
      </c>
      <c r="G41" s="53">
        <v>0.57179999999999997</v>
      </c>
      <c r="H41" s="53">
        <v>1.3077000000000001</v>
      </c>
      <c r="I41" s="67" t="str">
        <f t="shared" si="1"/>
        <v>0.5SaharianMERRA2</v>
      </c>
    </row>
    <row r="42" spans="1:9" x14ac:dyDescent="0.35">
      <c r="A42" s="49">
        <v>0.5</v>
      </c>
      <c r="B42" s="48" t="s">
        <v>66</v>
      </c>
      <c r="C42" s="48" t="s">
        <v>63</v>
      </c>
      <c r="D42" s="49">
        <v>0.84619999999999995</v>
      </c>
      <c r="E42" s="49">
        <v>0.32650000000000001</v>
      </c>
      <c r="F42" s="49">
        <v>0.6</v>
      </c>
      <c r="G42" s="49">
        <v>0.5323</v>
      </c>
      <c r="H42" s="49">
        <v>1.2564</v>
      </c>
      <c r="I42" s="66" t="str">
        <f t="shared" si="1"/>
        <v>0.5SaharianPERSIANN_CDR</v>
      </c>
    </row>
    <row r="43" spans="1:9" x14ac:dyDescent="0.35">
      <c r="A43" s="53">
        <v>0.5</v>
      </c>
      <c r="B43" s="52" t="s">
        <v>66</v>
      </c>
      <c r="C43" s="52" t="s">
        <v>64</v>
      </c>
      <c r="D43" s="53">
        <v>0.84619999999999995</v>
      </c>
      <c r="E43" s="53">
        <v>0.28260000000000002</v>
      </c>
      <c r="F43" s="53">
        <v>0.63460000000000005</v>
      </c>
      <c r="G43" s="53">
        <v>0.57330000000000003</v>
      </c>
      <c r="H43" s="53">
        <v>1.1795</v>
      </c>
      <c r="I43" s="67" t="str">
        <f t="shared" si="1"/>
        <v>0.5SaharianTERRACLIMATE</v>
      </c>
    </row>
    <row r="44" spans="1:9" x14ac:dyDescent="0.35">
      <c r="A44" s="49">
        <v>0.5</v>
      </c>
      <c r="B44" s="48" t="s">
        <v>3</v>
      </c>
      <c r="C44" s="48" t="s">
        <v>4</v>
      </c>
      <c r="D44" s="49">
        <v>0.94779999999999998</v>
      </c>
      <c r="E44" s="49">
        <v>7.7200000000000005E-2</v>
      </c>
      <c r="F44" s="49">
        <v>0.87809999999999999</v>
      </c>
      <c r="G44" s="49">
        <v>0.79349999999999998</v>
      </c>
      <c r="H44" s="49">
        <v>1.0270999999999999</v>
      </c>
      <c r="I44" s="66" t="str">
        <f t="shared" si="1"/>
        <v>0.5SahelianCHIRPS</v>
      </c>
    </row>
    <row r="45" spans="1:9" x14ac:dyDescent="0.35">
      <c r="A45" s="53">
        <v>0.5</v>
      </c>
      <c r="B45" s="52" t="s">
        <v>3</v>
      </c>
      <c r="C45" s="52" t="s">
        <v>60</v>
      </c>
      <c r="D45" s="53">
        <v>0.84330000000000005</v>
      </c>
      <c r="E45" s="53">
        <v>4.3900000000000002E-2</v>
      </c>
      <c r="F45" s="53">
        <v>0.81189999999999996</v>
      </c>
      <c r="G45" s="53">
        <v>0.70340000000000003</v>
      </c>
      <c r="H45" s="53">
        <v>0.88200000000000001</v>
      </c>
      <c r="I45" s="67" t="str">
        <f t="shared" si="1"/>
        <v>0.5SahelianERA5_LAND</v>
      </c>
    </row>
    <row r="46" spans="1:9" x14ac:dyDescent="0.35">
      <c r="A46" s="49">
        <v>0.5</v>
      </c>
      <c r="B46" s="48" t="s">
        <v>3</v>
      </c>
      <c r="C46" s="48" t="s">
        <v>61</v>
      </c>
      <c r="D46" s="49">
        <v>0.98839999999999995</v>
      </c>
      <c r="E46" s="49">
        <v>7.2599999999999998E-2</v>
      </c>
      <c r="F46" s="49">
        <v>0.91739999999999999</v>
      </c>
      <c r="G46" s="49">
        <v>0.85609999999999997</v>
      </c>
      <c r="H46" s="49">
        <v>1.0658000000000001</v>
      </c>
      <c r="I46" s="66" t="str">
        <f t="shared" si="1"/>
        <v>0.5SahelianGPM_IMERG</v>
      </c>
    </row>
    <row r="47" spans="1:9" x14ac:dyDescent="0.35">
      <c r="A47" s="53">
        <v>0.5</v>
      </c>
      <c r="B47" s="52" t="s">
        <v>3</v>
      </c>
      <c r="C47" s="52" t="s">
        <v>62</v>
      </c>
      <c r="D47" s="53">
        <v>0.94969999999999999</v>
      </c>
      <c r="E47" s="53">
        <v>0.13250000000000001</v>
      </c>
      <c r="F47" s="53">
        <v>0.82940000000000003</v>
      </c>
      <c r="G47" s="53">
        <v>0.70989999999999998</v>
      </c>
      <c r="H47" s="53">
        <v>1.0948</v>
      </c>
      <c r="I47" s="67" t="str">
        <f t="shared" si="1"/>
        <v>0.5SahelianMERRA2</v>
      </c>
    </row>
    <row r="48" spans="1:9" x14ac:dyDescent="0.35">
      <c r="A48" s="49">
        <v>0.5</v>
      </c>
      <c r="B48" s="48" t="s">
        <v>3</v>
      </c>
      <c r="C48" s="48" t="s">
        <v>63</v>
      </c>
      <c r="D48" s="49">
        <v>0.96909999999999996</v>
      </c>
      <c r="E48" s="49">
        <v>9.0700000000000003E-2</v>
      </c>
      <c r="F48" s="49">
        <v>0.88360000000000005</v>
      </c>
      <c r="G48" s="49">
        <v>0.79979999999999996</v>
      </c>
      <c r="H48" s="49">
        <v>1.0658000000000001</v>
      </c>
      <c r="I48" s="66" t="str">
        <f t="shared" si="1"/>
        <v>0.5SahelianPERSIANN_CDR</v>
      </c>
    </row>
    <row r="49" spans="1:9" x14ac:dyDescent="0.35">
      <c r="A49" s="53">
        <v>0.5</v>
      </c>
      <c r="B49" s="52" t="s">
        <v>3</v>
      </c>
      <c r="C49" s="52" t="s">
        <v>64</v>
      </c>
      <c r="D49" s="53">
        <v>0.96519999999999995</v>
      </c>
      <c r="E49" s="53">
        <v>7.0800000000000002E-2</v>
      </c>
      <c r="F49" s="53">
        <v>0.89910000000000001</v>
      </c>
      <c r="G49" s="53">
        <v>0.82699999999999996</v>
      </c>
      <c r="H49" s="53">
        <v>1.0387</v>
      </c>
      <c r="I49" s="67" t="str">
        <f t="shared" si="1"/>
        <v>0.5SahelianTERRACLIMATE</v>
      </c>
    </row>
    <row r="50" spans="1:9" x14ac:dyDescent="0.35">
      <c r="A50" s="49">
        <v>0.5</v>
      </c>
      <c r="B50" s="48" t="s">
        <v>69</v>
      </c>
      <c r="C50" s="48" t="s">
        <v>4</v>
      </c>
      <c r="D50" s="49">
        <v>0.96930000000000005</v>
      </c>
      <c r="E50" s="49">
        <v>9.7600000000000006E-2</v>
      </c>
      <c r="F50" s="49">
        <v>0.87729999999999997</v>
      </c>
      <c r="G50" s="49">
        <v>0.74009999999999998</v>
      </c>
      <c r="H50" s="49">
        <v>1.0742</v>
      </c>
      <c r="I50" s="66" t="str">
        <f t="shared" si="1"/>
        <v>0.5SoudanianCHIRPS</v>
      </c>
    </row>
    <row r="51" spans="1:9" x14ac:dyDescent="0.35">
      <c r="A51" s="53">
        <v>0.5</v>
      </c>
      <c r="B51" s="52" t="s">
        <v>69</v>
      </c>
      <c r="C51" s="52" t="s">
        <v>60</v>
      </c>
      <c r="D51" s="53">
        <v>0.95140000000000002</v>
      </c>
      <c r="E51" s="53">
        <v>9.4899999999999998E-2</v>
      </c>
      <c r="F51" s="53">
        <v>0.86509999999999998</v>
      </c>
      <c r="G51" s="53">
        <v>0.71950000000000003</v>
      </c>
      <c r="H51" s="53">
        <v>1.0511999999999999</v>
      </c>
      <c r="I51" s="67" t="str">
        <f t="shared" si="1"/>
        <v>0.5SoudanianERA5_LAND</v>
      </c>
    </row>
    <row r="52" spans="1:9" x14ac:dyDescent="0.35">
      <c r="A52" s="49">
        <v>0.5</v>
      </c>
      <c r="B52" s="48" t="s">
        <v>69</v>
      </c>
      <c r="C52" s="48" t="s">
        <v>61</v>
      </c>
      <c r="D52" s="49">
        <v>0.99490000000000001</v>
      </c>
      <c r="E52" s="49">
        <v>0.14510000000000001</v>
      </c>
      <c r="F52" s="49">
        <v>0.85119999999999996</v>
      </c>
      <c r="G52" s="49">
        <v>0.67610000000000003</v>
      </c>
      <c r="H52" s="49">
        <v>1.1637</v>
      </c>
      <c r="I52" s="66" t="str">
        <f t="shared" si="1"/>
        <v>0.5SoudanianGPM_IMERG</v>
      </c>
    </row>
    <row r="53" spans="1:9" x14ac:dyDescent="0.35">
      <c r="A53" s="53">
        <v>0.5</v>
      </c>
      <c r="B53" s="52" t="s">
        <v>69</v>
      </c>
      <c r="C53" s="52" t="s">
        <v>62</v>
      </c>
      <c r="D53" s="53">
        <v>0.95399999999999996</v>
      </c>
      <c r="E53" s="53">
        <v>8.3500000000000005E-2</v>
      </c>
      <c r="F53" s="53">
        <v>0.87760000000000005</v>
      </c>
      <c r="G53" s="53">
        <v>0.74509999999999998</v>
      </c>
      <c r="H53" s="53">
        <v>1.0408999999999999</v>
      </c>
      <c r="I53" s="67" t="str">
        <f t="shared" si="1"/>
        <v>0.5SoudanianMERRA2</v>
      </c>
    </row>
    <row r="54" spans="1:9" x14ac:dyDescent="0.35">
      <c r="A54" s="49">
        <v>0.5</v>
      </c>
      <c r="B54" s="48" t="s">
        <v>69</v>
      </c>
      <c r="C54" s="48" t="s">
        <v>63</v>
      </c>
      <c r="D54" s="49">
        <v>0.97189999999999999</v>
      </c>
      <c r="E54" s="49">
        <v>0.1142</v>
      </c>
      <c r="F54" s="49">
        <v>0.86360000000000003</v>
      </c>
      <c r="G54" s="49">
        <v>0.71020000000000005</v>
      </c>
      <c r="H54" s="49">
        <v>1.0972</v>
      </c>
      <c r="I54" s="66" t="str">
        <f t="shared" si="1"/>
        <v>0.5SoudanianPERSIANN_CDR</v>
      </c>
    </row>
    <row r="55" spans="1:9" x14ac:dyDescent="0.35">
      <c r="A55" s="53">
        <v>0.5</v>
      </c>
      <c r="B55" s="52" t="s">
        <v>69</v>
      </c>
      <c r="C55" s="52" t="s">
        <v>64</v>
      </c>
      <c r="D55" s="53">
        <v>0.95399999999999996</v>
      </c>
      <c r="E55" s="53">
        <v>8.5800000000000001E-2</v>
      </c>
      <c r="F55" s="53">
        <v>0.87560000000000004</v>
      </c>
      <c r="G55" s="53">
        <v>0.74070000000000003</v>
      </c>
      <c r="H55" s="53">
        <v>1.0435000000000001</v>
      </c>
      <c r="I55" s="67" t="str">
        <f t="shared" si="1"/>
        <v>0.5SoudanianTERRACLIMATE</v>
      </c>
    </row>
    <row r="56" spans="1:9" x14ac:dyDescent="0.35">
      <c r="A56" s="49">
        <v>0.5</v>
      </c>
      <c r="B56" s="48" t="s">
        <v>71</v>
      </c>
      <c r="C56" s="48" t="s">
        <v>4</v>
      </c>
      <c r="D56" s="49">
        <v>0.99819999999999998</v>
      </c>
      <c r="E56" s="49">
        <v>0.1187</v>
      </c>
      <c r="F56" s="49">
        <v>0.87990000000000002</v>
      </c>
      <c r="G56" s="49">
        <v>0.46929999999999999</v>
      </c>
      <c r="H56" s="49">
        <v>1.1326000000000001</v>
      </c>
      <c r="I56" s="66" t="str">
        <f t="shared" si="1"/>
        <v>0.5GuineanCHIRPS</v>
      </c>
    </row>
    <row r="57" spans="1:9" x14ac:dyDescent="0.35">
      <c r="A57" s="53">
        <v>0.5</v>
      </c>
      <c r="B57" s="52" t="s">
        <v>71</v>
      </c>
      <c r="C57" s="52" t="s">
        <v>60</v>
      </c>
      <c r="D57" s="53">
        <v>0.99639999999999995</v>
      </c>
      <c r="E57" s="53">
        <v>0.15890000000000001</v>
      </c>
      <c r="F57" s="53">
        <v>0.83860000000000001</v>
      </c>
      <c r="G57" s="53">
        <v>0.29010000000000002</v>
      </c>
      <c r="H57" s="53">
        <v>1.1846000000000001</v>
      </c>
      <c r="I57" s="67" t="str">
        <f t="shared" si="1"/>
        <v>0.5GuineanERA5_LAND</v>
      </c>
    </row>
    <row r="58" spans="1:9" x14ac:dyDescent="0.35">
      <c r="A58" s="49">
        <v>0.5</v>
      </c>
      <c r="B58" s="48" t="s">
        <v>71</v>
      </c>
      <c r="C58" s="48" t="s">
        <v>61</v>
      </c>
      <c r="D58" s="49">
        <v>0.98570000000000002</v>
      </c>
      <c r="E58" s="49">
        <v>0.13250000000000001</v>
      </c>
      <c r="F58" s="49">
        <v>0.85670000000000002</v>
      </c>
      <c r="G58" s="49">
        <v>0.38929999999999998</v>
      </c>
      <c r="H58" s="49">
        <v>1.1362000000000001</v>
      </c>
      <c r="I58" s="66" t="str">
        <f t="shared" si="1"/>
        <v>0.5GuineanGPM_IMERG</v>
      </c>
    </row>
    <row r="59" spans="1:9" x14ac:dyDescent="0.35">
      <c r="A59" s="53">
        <v>0.5</v>
      </c>
      <c r="B59" s="52" t="s">
        <v>71</v>
      </c>
      <c r="C59" s="52" t="s">
        <v>62</v>
      </c>
      <c r="D59" s="53">
        <v>0.92290000000000005</v>
      </c>
      <c r="E59" s="53">
        <v>4.9799999999999997E-2</v>
      </c>
      <c r="F59" s="53">
        <v>0.88029999999999997</v>
      </c>
      <c r="G59" s="53">
        <v>0.5756</v>
      </c>
      <c r="H59" s="53">
        <v>0.97130000000000005</v>
      </c>
      <c r="I59" s="67" t="str">
        <f t="shared" si="1"/>
        <v>0.5GuineanMERRA2</v>
      </c>
    </row>
    <row r="60" spans="1:9" x14ac:dyDescent="0.35">
      <c r="A60" s="49">
        <v>0.5</v>
      </c>
      <c r="B60" s="48" t="s">
        <v>71</v>
      </c>
      <c r="C60" s="48" t="s">
        <v>63</v>
      </c>
      <c r="D60" s="49">
        <v>0.98209999999999997</v>
      </c>
      <c r="E60" s="49">
        <v>0.1147</v>
      </c>
      <c r="F60" s="49">
        <v>0.87119999999999997</v>
      </c>
      <c r="G60" s="49">
        <v>0.45739999999999997</v>
      </c>
      <c r="H60" s="49">
        <v>1.1093</v>
      </c>
      <c r="I60" s="66" t="str">
        <f t="shared" si="1"/>
        <v>0.5GuineanPERSIANN_CDR</v>
      </c>
    </row>
    <row r="61" spans="1:9" x14ac:dyDescent="0.35">
      <c r="A61" s="53">
        <v>0.5</v>
      </c>
      <c r="B61" s="52" t="s">
        <v>71</v>
      </c>
      <c r="C61" s="52" t="s">
        <v>64</v>
      </c>
      <c r="D61" s="53">
        <v>0.99099999999999999</v>
      </c>
      <c r="E61" s="53">
        <v>0.14530000000000001</v>
      </c>
      <c r="F61" s="53">
        <v>0.84819999999999995</v>
      </c>
      <c r="G61" s="53">
        <v>0.34250000000000003</v>
      </c>
      <c r="H61" s="53">
        <v>1.1595</v>
      </c>
      <c r="I61" s="67" t="str">
        <f t="shared" si="1"/>
        <v>0.5GuineanTERRACLIMATE</v>
      </c>
    </row>
    <row r="62" spans="1:9" x14ac:dyDescent="0.35">
      <c r="A62" s="49">
        <v>0.5</v>
      </c>
      <c r="B62" s="48" t="s">
        <v>73</v>
      </c>
      <c r="C62" s="48" t="s">
        <v>4</v>
      </c>
      <c r="D62" s="49">
        <v>0.99509999999999998</v>
      </c>
      <c r="E62" s="49">
        <v>8.3099999999999993E-2</v>
      </c>
      <c r="F62" s="49">
        <v>0.91269999999999996</v>
      </c>
      <c r="G62" s="49">
        <v>0.45810000000000001</v>
      </c>
      <c r="H62" s="49">
        <v>1.0852999999999999</v>
      </c>
      <c r="I62" s="66" t="str">
        <f t="shared" si="1"/>
        <v>0.5Guineo-CongoleanCHIRPS</v>
      </c>
    </row>
    <row r="63" spans="1:9" x14ac:dyDescent="0.35">
      <c r="A63" s="53">
        <v>0.5</v>
      </c>
      <c r="B63" s="52" t="s">
        <v>73</v>
      </c>
      <c r="C63" s="52" t="s">
        <v>60</v>
      </c>
      <c r="D63" s="53">
        <v>0.99880000000000002</v>
      </c>
      <c r="E63" s="53">
        <v>0.1265</v>
      </c>
      <c r="F63" s="53">
        <v>0.87260000000000004</v>
      </c>
      <c r="G63" s="53">
        <v>0.19450000000000001</v>
      </c>
      <c r="H63" s="53">
        <v>1.1434</v>
      </c>
      <c r="I63" s="67" t="str">
        <f t="shared" si="1"/>
        <v>0.5Guineo-CongoleanERA5_LAND</v>
      </c>
    </row>
    <row r="64" spans="1:9" x14ac:dyDescent="0.35">
      <c r="A64" s="49">
        <v>0.5</v>
      </c>
      <c r="B64" s="48" t="s">
        <v>73</v>
      </c>
      <c r="C64" s="48" t="s">
        <v>61</v>
      </c>
      <c r="D64" s="49">
        <v>0.99380000000000002</v>
      </c>
      <c r="E64" s="49">
        <v>5.4100000000000002E-2</v>
      </c>
      <c r="F64" s="49">
        <v>0.94040000000000001</v>
      </c>
      <c r="G64" s="49">
        <v>0.63229999999999997</v>
      </c>
      <c r="H64" s="49">
        <v>1.0507</v>
      </c>
      <c r="I64" s="66" t="str">
        <f t="shared" si="1"/>
        <v>0.5Guineo-CongoleanGPM_IMERG</v>
      </c>
    </row>
    <row r="65" spans="1:9" x14ac:dyDescent="0.35">
      <c r="A65" s="53">
        <v>0.5</v>
      </c>
      <c r="B65" s="52" t="s">
        <v>73</v>
      </c>
      <c r="C65" s="52" t="s">
        <v>62</v>
      </c>
      <c r="D65" s="53">
        <v>0.99509999999999998</v>
      </c>
      <c r="E65" s="53">
        <v>7.7899999999999997E-2</v>
      </c>
      <c r="F65" s="53">
        <v>0.91790000000000005</v>
      </c>
      <c r="G65" s="53">
        <v>0.49049999999999999</v>
      </c>
      <c r="H65" s="53">
        <v>1.0790999999999999</v>
      </c>
      <c r="I65" s="67" t="str">
        <f t="shared" si="1"/>
        <v>0.5Guineo-CongoleanMERRA2</v>
      </c>
    </row>
    <row r="66" spans="1:9" x14ac:dyDescent="0.35">
      <c r="A66" s="49">
        <v>0.5</v>
      </c>
      <c r="B66" s="48" t="s">
        <v>73</v>
      </c>
      <c r="C66" s="48" t="s">
        <v>63</v>
      </c>
      <c r="D66" s="49">
        <v>0.98150000000000004</v>
      </c>
      <c r="E66" s="49">
        <v>9.8799999999999999E-2</v>
      </c>
      <c r="F66" s="49">
        <v>0.88619999999999999</v>
      </c>
      <c r="G66" s="49">
        <v>0.33579999999999999</v>
      </c>
      <c r="H66" s="49">
        <v>1.089</v>
      </c>
      <c r="I66" s="66" t="str">
        <f t="shared" ref="I66:I97" si="2">TEXT(A66,"0.0")&amp;B66&amp;C66</f>
        <v>0.5Guineo-CongoleanPERSIANN_CDR</v>
      </c>
    </row>
    <row r="67" spans="1:9" x14ac:dyDescent="0.35">
      <c r="A67" s="53">
        <v>0.5</v>
      </c>
      <c r="B67" s="52" t="s">
        <v>73</v>
      </c>
      <c r="C67" s="52" t="s">
        <v>64</v>
      </c>
      <c r="D67" s="53">
        <v>0.9728</v>
      </c>
      <c r="E67" s="53">
        <v>7.6300000000000007E-2</v>
      </c>
      <c r="F67" s="53">
        <v>0.90049999999999997</v>
      </c>
      <c r="G67" s="53">
        <v>0.44240000000000002</v>
      </c>
      <c r="H67" s="53">
        <v>1.0531999999999999</v>
      </c>
      <c r="I67" s="67" t="str">
        <f t="shared" si="2"/>
        <v>0.5Guineo-CongoleanTERRACLIMATE</v>
      </c>
    </row>
    <row r="68" spans="1:9" x14ac:dyDescent="0.35">
      <c r="A68" s="49">
        <v>0.5</v>
      </c>
      <c r="B68" s="48" t="s">
        <v>75</v>
      </c>
      <c r="C68" s="48" t="s">
        <v>4</v>
      </c>
      <c r="D68" s="49">
        <v>0.97709999999999997</v>
      </c>
      <c r="E68" s="49">
        <v>9.7000000000000003E-2</v>
      </c>
      <c r="F68" s="49">
        <v>0.88419999999999999</v>
      </c>
      <c r="G68" s="49">
        <v>0.71760000000000002</v>
      </c>
      <c r="H68" s="49">
        <v>1.0821000000000001</v>
      </c>
      <c r="I68" s="66" t="str">
        <f t="shared" si="2"/>
        <v>0.5All West AfricaCHIRPS</v>
      </c>
    </row>
    <row r="69" spans="1:9" x14ac:dyDescent="0.35">
      <c r="A69" s="53">
        <v>0.5</v>
      </c>
      <c r="B69" s="52" t="s">
        <v>75</v>
      </c>
      <c r="C69" s="52" t="s">
        <v>60</v>
      </c>
      <c r="D69" s="53">
        <v>0.94640000000000002</v>
      </c>
      <c r="E69" s="53">
        <v>0.1152</v>
      </c>
      <c r="F69" s="53">
        <v>0.84260000000000002</v>
      </c>
      <c r="G69" s="53">
        <v>0.63070000000000004</v>
      </c>
      <c r="H69" s="53">
        <v>1.0696000000000001</v>
      </c>
      <c r="I69" s="67" t="str">
        <f t="shared" si="2"/>
        <v>0.5All West AfricaERA5_LAND</v>
      </c>
    </row>
    <row r="70" spans="1:9" x14ac:dyDescent="0.35">
      <c r="A70" s="49">
        <v>0.5</v>
      </c>
      <c r="B70" s="48" t="s">
        <v>75</v>
      </c>
      <c r="C70" s="48" t="s">
        <v>61</v>
      </c>
      <c r="D70" s="49">
        <v>0.99009999999999998</v>
      </c>
      <c r="E70" s="49">
        <v>9.8000000000000004E-2</v>
      </c>
      <c r="F70" s="49">
        <v>0.89390000000000003</v>
      </c>
      <c r="G70" s="49">
        <v>0.73650000000000004</v>
      </c>
      <c r="H70" s="49">
        <v>1.0976999999999999</v>
      </c>
      <c r="I70" s="66" t="str">
        <f t="shared" si="2"/>
        <v>0.5All West AfricaGPM_IMERG</v>
      </c>
    </row>
    <row r="71" spans="1:9" x14ac:dyDescent="0.35">
      <c r="A71" s="53">
        <v>0.5</v>
      </c>
      <c r="B71" s="52" t="s">
        <v>75</v>
      </c>
      <c r="C71" s="52" t="s">
        <v>62</v>
      </c>
      <c r="D71" s="53">
        <v>0.95889999999999997</v>
      </c>
      <c r="E71" s="53">
        <v>9.0200000000000002E-2</v>
      </c>
      <c r="F71" s="53">
        <v>0.87570000000000003</v>
      </c>
      <c r="G71" s="53">
        <v>0.70399999999999996</v>
      </c>
      <c r="H71" s="53">
        <v>1.054</v>
      </c>
      <c r="I71" s="67" t="str">
        <f t="shared" si="2"/>
        <v>0.5All West AfricaMERRA2</v>
      </c>
    </row>
    <row r="72" spans="1:9" x14ac:dyDescent="0.35">
      <c r="A72" s="49">
        <v>0.5</v>
      </c>
      <c r="B72" s="48" t="s">
        <v>75</v>
      </c>
      <c r="C72" s="48" t="s">
        <v>63</v>
      </c>
      <c r="D72" s="49">
        <v>0.97489999999999999</v>
      </c>
      <c r="E72" s="49">
        <v>0.1079</v>
      </c>
      <c r="F72" s="49">
        <v>0.87209999999999999</v>
      </c>
      <c r="G72" s="49">
        <v>0.68859999999999999</v>
      </c>
      <c r="H72" s="49">
        <v>1.0929</v>
      </c>
      <c r="I72" s="66" t="str">
        <f t="shared" si="2"/>
        <v>0.5All West AfricaPERSIANN_CDR</v>
      </c>
    </row>
    <row r="73" spans="1:9" x14ac:dyDescent="0.35">
      <c r="A73" s="53">
        <v>0.5</v>
      </c>
      <c r="B73" s="52" t="s">
        <v>75</v>
      </c>
      <c r="C73" s="52" t="s">
        <v>64</v>
      </c>
      <c r="D73" s="53">
        <v>0.97019999999999995</v>
      </c>
      <c r="E73" s="53">
        <v>9.8400000000000001E-2</v>
      </c>
      <c r="F73" s="53">
        <v>0.87729999999999997</v>
      </c>
      <c r="G73" s="53">
        <v>0.70340000000000003</v>
      </c>
      <c r="H73" s="53">
        <v>1.0761000000000001</v>
      </c>
      <c r="I73" s="67" t="str">
        <f t="shared" si="2"/>
        <v>0.5All West AfricaTERRACLIMATE</v>
      </c>
    </row>
    <row r="74" spans="1:9" x14ac:dyDescent="0.35">
      <c r="A74" s="49">
        <v>1</v>
      </c>
      <c r="B74" s="48" t="s">
        <v>66</v>
      </c>
      <c r="C74" s="48" t="s">
        <v>4</v>
      </c>
      <c r="D74" s="49">
        <v>0.84619999999999995</v>
      </c>
      <c r="E74" s="49">
        <v>0.33329999999999999</v>
      </c>
      <c r="F74" s="49">
        <v>0.59460000000000002</v>
      </c>
      <c r="G74" s="49">
        <v>0.55120000000000002</v>
      </c>
      <c r="H74" s="49">
        <v>1.2692000000000001</v>
      </c>
      <c r="I74" s="66" t="str">
        <f t="shared" si="2"/>
        <v>1.0SaharianCHIRPS</v>
      </c>
    </row>
    <row r="75" spans="1:9" x14ac:dyDescent="0.35">
      <c r="A75" s="53">
        <v>1</v>
      </c>
      <c r="B75" s="52" t="s">
        <v>66</v>
      </c>
      <c r="C75" s="52" t="s">
        <v>60</v>
      </c>
      <c r="D75" s="53">
        <v>0.30769999999999997</v>
      </c>
      <c r="E75" s="53">
        <v>0.1111</v>
      </c>
      <c r="F75" s="53">
        <v>0.29630000000000001</v>
      </c>
      <c r="G75" s="53">
        <v>0.26989999999999997</v>
      </c>
      <c r="H75" s="53">
        <v>0.34620000000000001</v>
      </c>
      <c r="I75" s="67" t="str">
        <f t="shared" si="2"/>
        <v>1.0SaharianERA5_LAND</v>
      </c>
    </row>
    <row r="76" spans="1:9" x14ac:dyDescent="0.35">
      <c r="A76" s="49">
        <v>1</v>
      </c>
      <c r="B76" s="48" t="s">
        <v>66</v>
      </c>
      <c r="C76" s="48" t="s">
        <v>61</v>
      </c>
      <c r="D76" s="49">
        <v>0.92310000000000003</v>
      </c>
      <c r="E76" s="49">
        <v>0.1429</v>
      </c>
      <c r="F76" s="49">
        <v>0.8</v>
      </c>
      <c r="G76" s="49">
        <v>0.77749999999999997</v>
      </c>
      <c r="H76" s="49">
        <v>1.0769</v>
      </c>
      <c r="I76" s="66" t="str">
        <f t="shared" si="2"/>
        <v>1.0SaharianGPM_IMERG</v>
      </c>
    </row>
    <row r="77" spans="1:9" x14ac:dyDescent="0.35">
      <c r="A77" s="53">
        <v>1</v>
      </c>
      <c r="B77" s="52" t="s">
        <v>66</v>
      </c>
      <c r="C77" s="52" t="s">
        <v>62</v>
      </c>
      <c r="D77" s="53">
        <v>0.73080000000000001</v>
      </c>
      <c r="E77" s="53">
        <v>0.32140000000000002</v>
      </c>
      <c r="F77" s="53">
        <v>0.54290000000000005</v>
      </c>
      <c r="G77" s="53">
        <v>0.4995</v>
      </c>
      <c r="H77" s="53">
        <v>1.0769</v>
      </c>
      <c r="I77" s="67" t="str">
        <f t="shared" si="2"/>
        <v>1.0SaharianMERRA2</v>
      </c>
    </row>
    <row r="78" spans="1:9" x14ac:dyDescent="0.35">
      <c r="A78" s="49">
        <v>1</v>
      </c>
      <c r="B78" s="48" t="s">
        <v>66</v>
      </c>
      <c r="C78" s="48" t="s">
        <v>63</v>
      </c>
      <c r="D78" s="49">
        <v>0.84619999999999995</v>
      </c>
      <c r="E78" s="49">
        <v>0.1852</v>
      </c>
      <c r="F78" s="49">
        <v>0.7097</v>
      </c>
      <c r="G78" s="49">
        <v>0.6794</v>
      </c>
      <c r="H78" s="49">
        <v>1.0385</v>
      </c>
      <c r="I78" s="66" t="str">
        <f t="shared" si="2"/>
        <v>1.0SaharianPERSIANN_CDR</v>
      </c>
    </row>
    <row r="79" spans="1:9" x14ac:dyDescent="0.35">
      <c r="A79" s="53">
        <v>1</v>
      </c>
      <c r="B79" s="52" t="s">
        <v>66</v>
      </c>
      <c r="C79" s="52" t="s">
        <v>64</v>
      </c>
      <c r="D79" s="53">
        <v>0.65380000000000005</v>
      </c>
      <c r="E79" s="53">
        <v>0.34620000000000001</v>
      </c>
      <c r="F79" s="53">
        <v>0.48570000000000002</v>
      </c>
      <c r="G79" s="53">
        <v>0.44069999999999998</v>
      </c>
      <c r="H79" s="53">
        <v>1</v>
      </c>
      <c r="I79" s="67" t="str">
        <f t="shared" si="2"/>
        <v>1.0SaharianTERRACLIMATE</v>
      </c>
    </row>
    <row r="80" spans="1:9" x14ac:dyDescent="0.35">
      <c r="A80" s="49">
        <v>1</v>
      </c>
      <c r="B80" s="48" t="s">
        <v>3</v>
      </c>
      <c r="C80" s="48" t="s">
        <v>4</v>
      </c>
      <c r="D80" s="49">
        <v>0.93100000000000005</v>
      </c>
      <c r="E80" s="49">
        <v>4.8500000000000001E-2</v>
      </c>
      <c r="F80" s="49">
        <v>0.88890000000000002</v>
      </c>
      <c r="G80" s="49">
        <v>0.82609999999999995</v>
      </c>
      <c r="H80" s="49">
        <v>0.97840000000000005</v>
      </c>
      <c r="I80" s="66" t="str">
        <f t="shared" si="2"/>
        <v>1.0SahelianCHIRPS</v>
      </c>
    </row>
    <row r="81" spans="1:9" x14ac:dyDescent="0.35">
      <c r="A81" s="53">
        <v>1</v>
      </c>
      <c r="B81" s="52" t="s">
        <v>3</v>
      </c>
      <c r="C81" s="52" t="s">
        <v>60</v>
      </c>
      <c r="D81" s="53">
        <v>0.79959999999999998</v>
      </c>
      <c r="E81" s="53">
        <v>3.8899999999999997E-2</v>
      </c>
      <c r="F81" s="53">
        <v>0.77449999999999997</v>
      </c>
      <c r="G81" s="53">
        <v>0.67249999999999999</v>
      </c>
      <c r="H81" s="53">
        <v>0.83189999999999997</v>
      </c>
      <c r="I81" s="67" t="str">
        <f t="shared" si="2"/>
        <v>1.0SahelianERA5_LAND</v>
      </c>
    </row>
    <row r="82" spans="1:9" x14ac:dyDescent="0.35">
      <c r="A82" s="49">
        <v>1</v>
      </c>
      <c r="B82" s="48" t="s">
        <v>3</v>
      </c>
      <c r="C82" s="48" t="s">
        <v>61</v>
      </c>
      <c r="D82" s="49">
        <v>0.98060000000000003</v>
      </c>
      <c r="E82" s="49">
        <v>6.1899999999999997E-2</v>
      </c>
      <c r="F82" s="49">
        <v>0.92110000000000003</v>
      </c>
      <c r="G82" s="49">
        <v>0.87270000000000003</v>
      </c>
      <c r="H82" s="49">
        <v>1.0452999999999999</v>
      </c>
      <c r="I82" s="66" t="str">
        <f t="shared" si="2"/>
        <v>1.0SahelianGPM_IMERG</v>
      </c>
    </row>
    <row r="83" spans="1:9" x14ac:dyDescent="0.35">
      <c r="A83" s="53">
        <v>1</v>
      </c>
      <c r="B83" s="52" t="s">
        <v>3</v>
      </c>
      <c r="C83" s="52" t="s">
        <v>62</v>
      </c>
      <c r="D83" s="53">
        <v>0.93530000000000002</v>
      </c>
      <c r="E83" s="53">
        <v>0.1014</v>
      </c>
      <c r="F83" s="53">
        <v>0.84599999999999997</v>
      </c>
      <c r="G83" s="53">
        <v>0.75780000000000003</v>
      </c>
      <c r="H83" s="53">
        <v>1.0408999999999999</v>
      </c>
      <c r="I83" s="67" t="str">
        <f t="shared" si="2"/>
        <v>1.0SahelianMERRA2</v>
      </c>
    </row>
    <row r="84" spans="1:9" x14ac:dyDescent="0.35">
      <c r="A84" s="49">
        <v>1</v>
      </c>
      <c r="B84" s="48" t="s">
        <v>3</v>
      </c>
      <c r="C84" s="48" t="s">
        <v>63</v>
      </c>
      <c r="D84" s="49">
        <v>0.94610000000000005</v>
      </c>
      <c r="E84" s="49">
        <v>8.5400000000000004E-2</v>
      </c>
      <c r="F84" s="49">
        <v>0.86929999999999996</v>
      </c>
      <c r="G84" s="49">
        <v>0.79339999999999999</v>
      </c>
      <c r="H84" s="49">
        <v>1.0345</v>
      </c>
      <c r="I84" s="66" t="str">
        <f t="shared" si="2"/>
        <v>1.0SahelianPERSIANN_CDR</v>
      </c>
    </row>
    <row r="85" spans="1:9" x14ac:dyDescent="0.35">
      <c r="A85" s="53">
        <v>1</v>
      </c>
      <c r="B85" s="52" t="s">
        <v>3</v>
      </c>
      <c r="C85" s="52" t="s">
        <v>64</v>
      </c>
      <c r="D85" s="53">
        <v>0.9526</v>
      </c>
      <c r="E85" s="53">
        <v>8.3000000000000004E-2</v>
      </c>
      <c r="F85" s="53">
        <v>0.877</v>
      </c>
      <c r="G85" s="53">
        <v>0.80479999999999996</v>
      </c>
      <c r="H85" s="53">
        <v>1.0387999999999999</v>
      </c>
      <c r="I85" s="67" t="str">
        <f t="shared" si="2"/>
        <v>1.0SahelianTERRACLIMATE</v>
      </c>
    </row>
    <row r="86" spans="1:9" x14ac:dyDescent="0.35">
      <c r="A86" s="49">
        <v>1</v>
      </c>
      <c r="B86" s="48" t="s">
        <v>69</v>
      </c>
      <c r="C86" s="48" t="s">
        <v>4</v>
      </c>
      <c r="D86" s="49">
        <v>0.97489999999999999</v>
      </c>
      <c r="E86" s="49">
        <v>0.1094</v>
      </c>
      <c r="F86" s="49">
        <v>0.87060000000000004</v>
      </c>
      <c r="G86" s="49">
        <v>0.74760000000000004</v>
      </c>
      <c r="H86" s="49">
        <v>1.0947</v>
      </c>
      <c r="I86" s="66" t="str">
        <f t="shared" si="2"/>
        <v>1.0SoudanianCHIRPS</v>
      </c>
    </row>
    <row r="87" spans="1:9" x14ac:dyDescent="0.35">
      <c r="A87" s="53">
        <v>1</v>
      </c>
      <c r="B87" s="52" t="s">
        <v>69</v>
      </c>
      <c r="C87" s="52" t="s">
        <v>60</v>
      </c>
      <c r="D87" s="53">
        <v>0.9415</v>
      </c>
      <c r="E87" s="53">
        <v>8.8900000000000007E-2</v>
      </c>
      <c r="F87" s="53">
        <v>0.86219999999999997</v>
      </c>
      <c r="G87" s="53">
        <v>0.73909999999999998</v>
      </c>
      <c r="H87" s="53">
        <v>1.0334000000000001</v>
      </c>
      <c r="I87" s="67" t="str">
        <f t="shared" si="2"/>
        <v>1.0SoudanianERA5_LAND</v>
      </c>
    </row>
    <row r="88" spans="1:9" x14ac:dyDescent="0.35">
      <c r="A88" s="49">
        <v>1</v>
      </c>
      <c r="B88" s="48" t="s">
        <v>69</v>
      </c>
      <c r="C88" s="48" t="s">
        <v>61</v>
      </c>
      <c r="D88" s="49">
        <v>0.9889</v>
      </c>
      <c r="E88" s="49">
        <v>0.12559999999999999</v>
      </c>
      <c r="F88" s="49">
        <v>0.8659</v>
      </c>
      <c r="G88" s="49">
        <v>0.73499999999999999</v>
      </c>
      <c r="H88" s="49">
        <v>1.1309</v>
      </c>
      <c r="I88" s="66" t="str">
        <f t="shared" si="2"/>
        <v>1.0SoudanianGPM_IMERG</v>
      </c>
    </row>
    <row r="89" spans="1:9" x14ac:dyDescent="0.35">
      <c r="A89" s="53">
        <v>1</v>
      </c>
      <c r="B89" s="52" t="s">
        <v>69</v>
      </c>
      <c r="C89" s="52" t="s">
        <v>62</v>
      </c>
      <c r="D89" s="53">
        <v>0.93310000000000004</v>
      </c>
      <c r="E89" s="53">
        <v>7.7100000000000002E-2</v>
      </c>
      <c r="F89" s="53">
        <v>0.86560000000000004</v>
      </c>
      <c r="G89" s="53">
        <v>0.74760000000000004</v>
      </c>
      <c r="H89" s="53">
        <v>1.0111000000000001</v>
      </c>
      <c r="I89" s="67" t="str">
        <f t="shared" si="2"/>
        <v>1.0SoudanianMERRA2</v>
      </c>
    </row>
    <row r="90" spans="1:9" x14ac:dyDescent="0.35">
      <c r="A90" s="49">
        <v>1</v>
      </c>
      <c r="B90" s="48" t="s">
        <v>69</v>
      </c>
      <c r="C90" s="48" t="s">
        <v>63</v>
      </c>
      <c r="D90" s="49">
        <v>0.95820000000000005</v>
      </c>
      <c r="E90" s="49">
        <v>0.1157</v>
      </c>
      <c r="F90" s="49">
        <v>0.85150000000000003</v>
      </c>
      <c r="G90" s="49">
        <v>0.71430000000000005</v>
      </c>
      <c r="H90" s="49">
        <v>1.0835999999999999</v>
      </c>
      <c r="I90" s="66" t="str">
        <f t="shared" si="2"/>
        <v>1.0SoudanianPERSIANN_CDR</v>
      </c>
    </row>
    <row r="91" spans="1:9" x14ac:dyDescent="0.35">
      <c r="A91" s="53">
        <v>1</v>
      </c>
      <c r="B91" s="52" t="s">
        <v>69</v>
      </c>
      <c r="C91" s="52" t="s">
        <v>64</v>
      </c>
      <c r="D91" s="53">
        <v>0.9526</v>
      </c>
      <c r="E91" s="53">
        <v>8.7999999999999995E-2</v>
      </c>
      <c r="F91" s="53">
        <v>0.87239999999999995</v>
      </c>
      <c r="G91" s="53">
        <v>0.75609999999999999</v>
      </c>
      <c r="H91" s="53">
        <v>1.0446</v>
      </c>
      <c r="I91" s="67" t="str">
        <f t="shared" si="2"/>
        <v>1.0SoudanianTERRACLIMATE</v>
      </c>
    </row>
    <row r="92" spans="1:9" x14ac:dyDescent="0.35">
      <c r="A92" s="49">
        <v>1</v>
      </c>
      <c r="B92" s="48" t="s">
        <v>71</v>
      </c>
      <c r="C92" s="48" t="s">
        <v>4</v>
      </c>
      <c r="D92" s="49">
        <v>0.97370000000000001</v>
      </c>
      <c r="E92" s="49">
        <v>0.1023</v>
      </c>
      <c r="F92" s="49">
        <v>0.87649999999999995</v>
      </c>
      <c r="G92" s="49">
        <v>0.55669999999999997</v>
      </c>
      <c r="H92" s="49">
        <v>1.0846</v>
      </c>
      <c r="I92" s="66" t="str">
        <f t="shared" si="2"/>
        <v>1.0GuineanCHIRPS</v>
      </c>
    </row>
    <row r="93" spans="1:9" x14ac:dyDescent="0.35">
      <c r="A93" s="53">
        <v>1</v>
      </c>
      <c r="B93" s="52" t="s">
        <v>71</v>
      </c>
      <c r="C93" s="52" t="s">
        <v>60</v>
      </c>
      <c r="D93" s="53">
        <v>0.97370000000000001</v>
      </c>
      <c r="E93" s="53">
        <v>0.15079999999999999</v>
      </c>
      <c r="F93" s="53">
        <v>0.83009999999999995</v>
      </c>
      <c r="G93" s="53">
        <v>0.38829999999999998</v>
      </c>
      <c r="H93" s="53">
        <v>1.1466000000000001</v>
      </c>
      <c r="I93" s="67" t="str">
        <f t="shared" si="2"/>
        <v>1.0GuineanERA5_LAND</v>
      </c>
    </row>
    <row r="94" spans="1:9" x14ac:dyDescent="0.35">
      <c r="A94" s="49">
        <v>1</v>
      </c>
      <c r="B94" s="48" t="s">
        <v>71</v>
      </c>
      <c r="C94" s="48" t="s">
        <v>61</v>
      </c>
      <c r="D94" s="49">
        <v>0.96619999999999995</v>
      </c>
      <c r="E94" s="49">
        <v>0.12139999999999999</v>
      </c>
      <c r="F94" s="49">
        <v>0.85240000000000005</v>
      </c>
      <c r="G94" s="49">
        <v>0.4788</v>
      </c>
      <c r="H94" s="49">
        <v>1.0995999999999999</v>
      </c>
      <c r="I94" s="66" t="str">
        <f t="shared" si="2"/>
        <v>1.0GuineanGPM_IMERG</v>
      </c>
    </row>
    <row r="95" spans="1:9" x14ac:dyDescent="0.35">
      <c r="A95" s="53">
        <v>1</v>
      </c>
      <c r="B95" s="52" t="s">
        <v>71</v>
      </c>
      <c r="C95" s="52" t="s">
        <v>62</v>
      </c>
      <c r="D95" s="53">
        <v>0.87970000000000004</v>
      </c>
      <c r="E95" s="53">
        <v>5.45E-2</v>
      </c>
      <c r="F95" s="53">
        <v>0.83720000000000006</v>
      </c>
      <c r="G95" s="53">
        <v>0.52910000000000001</v>
      </c>
      <c r="H95" s="53">
        <v>0.93049999999999999</v>
      </c>
      <c r="I95" s="67" t="str">
        <f t="shared" si="2"/>
        <v>1.0GuineanMERRA2</v>
      </c>
    </row>
    <row r="96" spans="1:9" x14ac:dyDescent="0.35">
      <c r="A96" s="49">
        <v>1</v>
      </c>
      <c r="B96" s="48" t="s">
        <v>71</v>
      </c>
      <c r="C96" s="48" t="s">
        <v>63</v>
      </c>
      <c r="D96" s="49">
        <v>0.97560000000000002</v>
      </c>
      <c r="E96" s="49">
        <v>8.4699999999999998E-2</v>
      </c>
      <c r="F96" s="49">
        <v>0.89480000000000004</v>
      </c>
      <c r="G96" s="49">
        <v>0.62119999999999997</v>
      </c>
      <c r="H96" s="49">
        <v>1.0658000000000001</v>
      </c>
      <c r="I96" s="66" t="str">
        <f t="shared" si="2"/>
        <v>1.0GuineanPERSIANN_CDR</v>
      </c>
    </row>
    <row r="97" spans="1:9" x14ac:dyDescent="0.35">
      <c r="A97" s="53">
        <v>1</v>
      </c>
      <c r="B97" s="52" t="s">
        <v>71</v>
      </c>
      <c r="C97" s="52" t="s">
        <v>64</v>
      </c>
      <c r="D97" s="53">
        <v>0.98309999999999997</v>
      </c>
      <c r="E97" s="53">
        <v>0.13120000000000001</v>
      </c>
      <c r="F97" s="53">
        <v>0.85599999999999998</v>
      </c>
      <c r="G97" s="53">
        <v>0.47049999999999997</v>
      </c>
      <c r="H97" s="53">
        <v>1.1315999999999999</v>
      </c>
      <c r="I97" s="67" t="str">
        <f t="shared" si="2"/>
        <v>1.0GuineanTERRACLIMATE</v>
      </c>
    </row>
    <row r="98" spans="1:9" x14ac:dyDescent="0.35">
      <c r="A98" s="49">
        <v>1</v>
      </c>
      <c r="B98" s="48" t="s">
        <v>73</v>
      </c>
      <c r="C98" s="48" t="s">
        <v>4</v>
      </c>
      <c r="D98" s="49">
        <v>0.9597</v>
      </c>
      <c r="E98" s="49">
        <v>8.9200000000000002E-2</v>
      </c>
      <c r="F98" s="49">
        <v>0.87729999999999997</v>
      </c>
      <c r="G98" s="49">
        <v>0.5141</v>
      </c>
      <c r="H98" s="49">
        <v>1.0537000000000001</v>
      </c>
      <c r="I98" s="66" t="str">
        <f t="shared" ref="I98:I129" si="3">TEXT(A98,"0.0")&amp;B98&amp;C98</f>
        <v>1.0Guineo-CongoleanCHIRPS</v>
      </c>
    </row>
    <row r="99" spans="1:9" x14ac:dyDescent="0.35">
      <c r="A99" s="53">
        <v>1</v>
      </c>
      <c r="B99" s="52" t="s">
        <v>73</v>
      </c>
      <c r="C99" s="52" t="s">
        <v>60</v>
      </c>
      <c r="D99" s="53">
        <v>0.97319999999999995</v>
      </c>
      <c r="E99" s="53">
        <v>0.14499999999999999</v>
      </c>
      <c r="F99" s="53">
        <v>0.83530000000000004</v>
      </c>
      <c r="G99" s="53">
        <v>0.31879999999999997</v>
      </c>
      <c r="H99" s="53">
        <v>1.1383000000000001</v>
      </c>
      <c r="I99" s="67" t="str">
        <f t="shared" si="3"/>
        <v>1.0Guineo-CongoleanERA5_LAND</v>
      </c>
    </row>
    <row r="100" spans="1:9" x14ac:dyDescent="0.35">
      <c r="A100" s="49">
        <v>1</v>
      </c>
      <c r="B100" s="48" t="s">
        <v>73</v>
      </c>
      <c r="C100" s="48" t="s">
        <v>61</v>
      </c>
      <c r="D100" s="49">
        <v>0.96779999999999999</v>
      </c>
      <c r="E100" s="49">
        <v>5.2600000000000001E-2</v>
      </c>
      <c r="F100" s="49">
        <v>0.91849999999999998</v>
      </c>
      <c r="G100" s="49">
        <v>0.67079999999999995</v>
      </c>
      <c r="H100" s="49">
        <v>1.0215000000000001</v>
      </c>
      <c r="I100" s="66" t="str">
        <f t="shared" si="3"/>
        <v>1.0Guineo-CongoleanGPM_IMERG</v>
      </c>
    </row>
    <row r="101" spans="1:9" x14ac:dyDescent="0.35">
      <c r="A101" s="53">
        <v>1</v>
      </c>
      <c r="B101" s="52" t="s">
        <v>73</v>
      </c>
      <c r="C101" s="52" t="s">
        <v>62</v>
      </c>
      <c r="D101" s="53">
        <v>0.95699999999999996</v>
      </c>
      <c r="E101" s="53">
        <v>9.2899999999999996E-2</v>
      </c>
      <c r="F101" s="53">
        <v>0.87160000000000004</v>
      </c>
      <c r="G101" s="53">
        <v>0.49530000000000002</v>
      </c>
      <c r="H101" s="53">
        <v>1.0549999999999999</v>
      </c>
      <c r="I101" s="67" t="str">
        <f t="shared" si="3"/>
        <v>1.0Guineo-CongoleanMERRA2</v>
      </c>
    </row>
    <row r="102" spans="1:9" x14ac:dyDescent="0.35">
      <c r="A102" s="49">
        <v>1</v>
      </c>
      <c r="B102" s="48" t="s">
        <v>73</v>
      </c>
      <c r="C102" s="48" t="s">
        <v>63</v>
      </c>
      <c r="D102" s="49">
        <v>0.95699999999999996</v>
      </c>
      <c r="E102" s="49">
        <v>0.1043</v>
      </c>
      <c r="F102" s="49">
        <v>0.86109999999999998</v>
      </c>
      <c r="G102" s="49">
        <v>0.4531</v>
      </c>
      <c r="H102" s="49">
        <v>1.0685</v>
      </c>
      <c r="I102" s="66" t="str">
        <f t="shared" si="3"/>
        <v>1.0Guineo-CongoleanPERSIANN_CDR</v>
      </c>
    </row>
    <row r="103" spans="1:9" x14ac:dyDescent="0.35">
      <c r="A103" s="53">
        <v>1</v>
      </c>
      <c r="B103" s="52" t="s">
        <v>73</v>
      </c>
      <c r="C103" s="52" t="s">
        <v>64</v>
      </c>
      <c r="D103" s="53">
        <v>0.92479999999999996</v>
      </c>
      <c r="E103" s="53">
        <v>8.8599999999999998E-2</v>
      </c>
      <c r="F103" s="53">
        <v>0.84850000000000003</v>
      </c>
      <c r="G103" s="53">
        <v>0.4541</v>
      </c>
      <c r="H103" s="53">
        <v>1.0147999999999999</v>
      </c>
      <c r="I103" s="67" t="str">
        <f t="shared" si="3"/>
        <v>1.0Guineo-CongoleanTERRACLIMATE</v>
      </c>
    </row>
    <row r="104" spans="1:9" x14ac:dyDescent="0.35">
      <c r="A104" s="49">
        <v>1</v>
      </c>
      <c r="B104" s="48" t="s">
        <v>75</v>
      </c>
      <c r="C104" s="48" t="s">
        <v>4</v>
      </c>
      <c r="D104" s="49">
        <v>0.95809999999999995</v>
      </c>
      <c r="E104" s="49">
        <v>9.1399999999999995E-2</v>
      </c>
      <c r="F104" s="49">
        <v>0.87390000000000001</v>
      </c>
      <c r="G104" s="49">
        <v>0.73019999999999996</v>
      </c>
      <c r="H104" s="49">
        <v>1.0546</v>
      </c>
      <c r="I104" s="66" t="str">
        <f t="shared" si="3"/>
        <v>1.0All West AfricaCHIRPS</v>
      </c>
    </row>
    <row r="105" spans="1:9" x14ac:dyDescent="0.35">
      <c r="A105" s="53">
        <v>1</v>
      </c>
      <c r="B105" s="52" t="s">
        <v>75</v>
      </c>
      <c r="C105" s="52" t="s">
        <v>60</v>
      </c>
      <c r="D105" s="53">
        <v>0.92190000000000005</v>
      </c>
      <c r="E105" s="53">
        <v>0.1187</v>
      </c>
      <c r="F105" s="53">
        <v>0.82010000000000005</v>
      </c>
      <c r="G105" s="53">
        <v>0.62890000000000001</v>
      </c>
      <c r="H105" s="53">
        <v>1.0461</v>
      </c>
      <c r="I105" s="67" t="str">
        <f t="shared" si="3"/>
        <v>1.0All West AfricaERA5_LAND</v>
      </c>
    </row>
    <row r="106" spans="1:9" x14ac:dyDescent="0.35">
      <c r="A106" s="49">
        <v>1</v>
      </c>
      <c r="B106" s="48" t="s">
        <v>75</v>
      </c>
      <c r="C106" s="48" t="s">
        <v>61</v>
      </c>
      <c r="D106" s="49">
        <v>0.97319999999999995</v>
      </c>
      <c r="E106" s="49">
        <v>8.6499999999999994E-2</v>
      </c>
      <c r="F106" s="49">
        <v>0.89100000000000001</v>
      </c>
      <c r="G106" s="49">
        <v>0.7631</v>
      </c>
      <c r="H106" s="49">
        <v>1.0653999999999999</v>
      </c>
      <c r="I106" s="66" t="str">
        <f t="shared" si="3"/>
        <v>1.0All West AfricaGPM_IMERG</v>
      </c>
    </row>
    <row r="107" spans="1:9" x14ac:dyDescent="0.35">
      <c r="A107" s="53">
        <v>1</v>
      </c>
      <c r="B107" s="52" t="s">
        <v>75</v>
      </c>
      <c r="C107" s="52" t="s">
        <v>62</v>
      </c>
      <c r="D107" s="53">
        <v>0.92620000000000002</v>
      </c>
      <c r="E107" s="53">
        <v>8.6300000000000002E-2</v>
      </c>
      <c r="F107" s="53">
        <v>0.85160000000000002</v>
      </c>
      <c r="G107" s="53">
        <v>0.69340000000000002</v>
      </c>
      <c r="H107" s="53">
        <v>1.0136000000000001</v>
      </c>
      <c r="I107" s="67" t="str">
        <f t="shared" si="3"/>
        <v>1.0All West AfricaMERRA2</v>
      </c>
    </row>
    <row r="108" spans="1:9" x14ac:dyDescent="0.35">
      <c r="A108" s="49">
        <v>1</v>
      </c>
      <c r="B108" s="48" t="s">
        <v>75</v>
      </c>
      <c r="C108" s="48" t="s">
        <v>63</v>
      </c>
      <c r="D108" s="49">
        <v>0.95809999999999995</v>
      </c>
      <c r="E108" s="49">
        <v>9.8299999999999998E-2</v>
      </c>
      <c r="F108" s="49">
        <v>0.86750000000000005</v>
      </c>
      <c r="G108" s="49">
        <v>0.71660000000000001</v>
      </c>
      <c r="H108" s="49">
        <v>1.0626</v>
      </c>
      <c r="I108" s="66" t="str">
        <f t="shared" si="3"/>
        <v>1.0All West AfricaPERSIANN_CDR</v>
      </c>
    </row>
    <row r="109" spans="1:9" x14ac:dyDescent="0.35">
      <c r="A109" s="53">
        <v>1</v>
      </c>
      <c r="B109" s="52" t="s">
        <v>75</v>
      </c>
      <c r="C109" s="52" t="s">
        <v>64</v>
      </c>
      <c r="D109" s="53">
        <v>0.94679999999999997</v>
      </c>
      <c r="E109" s="53">
        <v>0.1017</v>
      </c>
      <c r="F109" s="53">
        <v>0.85509999999999997</v>
      </c>
      <c r="G109" s="53">
        <v>0.69369999999999998</v>
      </c>
      <c r="H109" s="53">
        <v>1.0541</v>
      </c>
      <c r="I109" s="67" t="str">
        <f t="shared" si="3"/>
        <v>1.0All West AfricaTERRACLIMATE</v>
      </c>
    </row>
    <row r="110" spans="1:9" x14ac:dyDescent="0.35">
      <c r="A110" s="49">
        <v>2</v>
      </c>
      <c r="B110" s="48" t="s">
        <v>66</v>
      </c>
      <c r="C110" s="48" t="s">
        <v>4</v>
      </c>
      <c r="D110" s="49">
        <v>0.875</v>
      </c>
      <c r="E110" s="49">
        <v>0.46150000000000002</v>
      </c>
      <c r="F110" s="49">
        <v>0.5</v>
      </c>
      <c r="G110" s="49">
        <v>0.48399999999999999</v>
      </c>
      <c r="H110" s="49">
        <v>1.625</v>
      </c>
      <c r="I110" s="66" t="str">
        <f t="shared" si="3"/>
        <v>2.0SaharianCHIRPS</v>
      </c>
    </row>
    <row r="111" spans="1:9" x14ac:dyDescent="0.35">
      <c r="A111" s="53">
        <v>2</v>
      </c>
      <c r="B111" s="52" t="s">
        <v>66</v>
      </c>
      <c r="C111" s="52" t="s">
        <v>60</v>
      </c>
      <c r="D111" s="53">
        <v>0.125</v>
      </c>
      <c r="E111" s="53">
        <v>0.5</v>
      </c>
      <c r="F111" s="53">
        <v>0.1111</v>
      </c>
      <c r="G111" s="53">
        <v>0.1045</v>
      </c>
      <c r="H111" s="53">
        <v>0.25</v>
      </c>
      <c r="I111" s="67" t="str">
        <f t="shared" si="3"/>
        <v>2.0SaharianERA5_LAND</v>
      </c>
    </row>
    <row r="112" spans="1:9" x14ac:dyDescent="0.35">
      <c r="A112" s="49">
        <v>2</v>
      </c>
      <c r="B112" s="48" t="s">
        <v>66</v>
      </c>
      <c r="C112" s="48" t="s">
        <v>61</v>
      </c>
      <c r="D112" s="49">
        <v>0.875</v>
      </c>
      <c r="E112" s="49">
        <v>0.5333</v>
      </c>
      <c r="F112" s="49">
        <v>0.4375</v>
      </c>
      <c r="G112" s="49">
        <v>0.4194</v>
      </c>
      <c r="H112" s="49">
        <v>1.875</v>
      </c>
      <c r="I112" s="66" t="str">
        <f t="shared" si="3"/>
        <v>2.0SaharianGPM_IMERG</v>
      </c>
    </row>
    <row r="113" spans="1:9" x14ac:dyDescent="0.35">
      <c r="A113" s="53">
        <v>2</v>
      </c>
      <c r="B113" s="52" t="s">
        <v>66</v>
      </c>
      <c r="C113" s="52" t="s">
        <v>62</v>
      </c>
      <c r="D113" s="53">
        <v>0.5</v>
      </c>
      <c r="E113" s="53">
        <v>0.66669999999999996</v>
      </c>
      <c r="F113" s="53">
        <v>0.25</v>
      </c>
      <c r="G113" s="53">
        <v>0.23080000000000001</v>
      </c>
      <c r="H113" s="53">
        <v>1.5</v>
      </c>
      <c r="I113" s="67" t="str">
        <f t="shared" si="3"/>
        <v>2.0SaharianMERRA2</v>
      </c>
    </row>
    <row r="114" spans="1:9" x14ac:dyDescent="0.35">
      <c r="A114" s="49">
        <v>2</v>
      </c>
      <c r="B114" s="48" t="s">
        <v>66</v>
      </c>
      <c r="C114" s="48" t="s">
        <v>63</v>
      </c>
      <c r="D114" s="49">
        <v>0.75</v>
      </c>
      <c r="E114" s="49">
        <v>0.45450000000000002</v>
      </c>
      <c r="F114" s="49">
        <v>0.46150000000000002</v>
      </c>
      <c r="G114" s="49">
        <v>0.44590000000000002</v>
      </c>
      <c r="H114" s="49">
        <v>1.375</v>
      </c>
      <c r="I114" s="66" t="str">
        <f t="shared" si="3"/>
        <v>2.0SaharianPERSIANN_CDR</v>
      </c>
    </row>
    <row r="115" spans="1:9" x14ac:dyDescent="0.35">
      <c r="A115" s="53">
        <v>2</v>
      </c>
      <c r="B115" s="52" t="s">
        <v>66</v>
      </c>
      <c r="C115" s="52" t="s">
        <v>64</v>
      </c>
      <c r="D115" s="53">
        <v>0.75</v>
      </c>
      <c r="E115" s="53">
        <v>0.33329999999999999</v>
      </c>
      <c r="F115" s="53">
        <v>0.54549999999999998</v>
      </c>
      <c r="G115" s="53">
        <v>0.53269999999999995</v>
      </c>
      <c r="H115" s="53">
        <v>1.125</v>
      </c>
      <c r="I115" s="67" t="str">
        <f t="shared" si="3"/>
        <v>2.0SaharianTERRACLIMATE</v>
      </c>
    </row>
    <row r="116" spans="1:9" x14ac:dyDescent="0.35">
      <c r="A116" s="49">
        <v>2</v>
      </c>
      <c r="B116" s="48" t="s">
        <v>3</v>
      </c>
      <c r="C116" s="48" t="s">
        <v>4</v>
      </c>
      <c r="D116" s="49">
        <v>0.9264</v>
      </c>
      <c r="E116" s="49">
        <v>7.3599999999999999E-2</v>
      </c>
      <c r="F116" s="49">
        <v>0.8629</v>
      </c>
      <c r="G116" s="49">
        <v>0.80830000000000002</v>
      </c>
      <c r="H116" s="49">
        <v>1</v>
      </c>
      <c r="I116" s="66" t="str">
        <f t="shared" si="3"/>
        <v>2.0SahelianCHIRPS</v>
      </c>
    </row>
    <row r="117" spans="1:9" x14ac:dyDescent="0.35">
      <c r="A117" s="53">
        <v>2</v>
      </c>
      <c r="B117" s="52" t="s">
        <v>3</v>
      </c>
      <c r="C117" s="52" t="s">
        <v>60</v>
      </c>
      <c r="D117" s="53">
        <v>0.75480000000000003</v>
      </c>
      <c r="E117" s="53">
        <v>4.1500000000000002E-2</v>
      </c>
      <c r="F117" s="53">
        <v>0.73089999999999999</v>
      </c>
      <c r="G117" s="53">
        <v>0.64900000000000002</v>
      </c>
      <c r="H117" s="53">
        <v>0.78749999999999998</v>
      </c>
      <c r="I117" s="67" t="str">
        <f t="shared" si="3"/>
        <v>2.0SahelianERA5_LAND</v>
      </c>
    </row>
    <row r="118" spans="1:9" x14ac:dyDescent="0.35">
      <c r="A118" s="49">
        <v>2</v>
      </c>
      <c r="B118" s="48" t="s">
        <v>3</v>
      </c>
      <c r="C118" s="48" t="s">
        <v>61</v>
      </c>
      <c r="D118" s="49">
        <v>0.96460000000000001</v>
      </c>
      <c r="E118" s="49">
        <v>8.5300000000000001E-2</v>
      </c>
      <c r="F118" s="49">
        <v>0.88500000000000001</v>
      </c>
      <c r="G118" s="49">
        <v>0.8367</v>
      </c>
      <c r="H118" s="49">
        <v>1.0545</v>
      </c>
      <c r="I118" s="66" t="str">
        <f t="shared" si="3"/>
        <v>2.0SahelianGPM_IMERG</v>
      </c>
    </row>
    <row r="119" spans="1:9" x14ac:dyDescent="0.35">
      <c r="A119" s="53">
        <v>2</v>
      </c>
      <c r="B119" s="52" t="s">
        <v>3</v>
      </c>
      <c r="C119" s="52" t="s">
        <v>62</v>
      </c>
      <c r="D119" s="53">
        <v>0.91830000000000001</v>
      </c>
      <c r="E119" s="53">
        <v>0.1201</v>
      </c>
      <c r="F119" s="53">
        <v>0.81599999999999995</v>
      </c>
      <c r="G119" s="53">
        <v>0.74309999999999998</v>
      </c>
      <c r="H119" s="53">
        <v>1.0436000000000001</v>
      </c>
      <c r="I119" s="67" t="str">
        <f t="shared" si="3"/>
        <v>2.0SahelianMERRA2</v>
      </c>
    </row>
    <row r="120" spans="1:9" x14ac:dyDescent="0.35">
      <c r="A120" s="49">
        <v>2</v>
      </c>
      <c r="B120" s="48" t="s">
        <v>3</v>
      </c>
      <c r="C120" s="48" t="s">
        <v>63</v>
      </c>
      <c r="D120" s="49">
        <v>0.93459999999999999</v>
      </c>
      <c r="E120" s="49">
        <v>0.11600000000000001</v>
      </c>
      <c r="F120" s="49">
        <v>0.83250000000000002</v>
      </c>
      <c r="G120" s="49">
        <v>0.76480000000000004</v>
      </c>
      <c r="H120" s="49">
        <v>1.0571999999999999</v>
      </c>
      <c r="I120" s="66" t="str">
        <f t="shared" si="3"/>
        <v>2.0SahelianPERSIANN_CDR</v>
      </c>
    </row>
    <row r="121" spans="1:9" x14ac:dyDescent="0.35">
      <c r="A121" s="53">
        <v>2</v>
      </c>
      <c r="B121" s="52" t="s">
        <v>3</v>
      </c>
      <c r="C121" s="52" t="s">
        <v>64</v>
      </c>
      <c r="D121" s="53">
        <v>0.92920000000000003</v>
      </c>
      <c r="E121" s="53">
        <v>0.105</v>
      </c>
      <c r="F121" s="53">
        <v>0.83779999999999999</v>
      </c>
      <c r="G121" s="53">
        <v>0.77280000000000004</v>
      </c>
      <c r="H121" s="53">
        <v>1.0381</v>
      </c>
      <c r="I121" s="67" t="str">
        <f t="shared" si="3"/>
        <v>2.0SahelianTERRACLIMATE</v>
      </c>
    </row>
    <row r="122" spans="1:9" x14ac:dyDescent="0.35">
      <c r="A122" s="49">
        <v>2</v>
      </c>
      <c r="B122" s="48" t="s">
        <v>69</v>
      </c>
      <c r="C122" s="48" t="s">
        <v>4</v>
      </c>
      <c r="D122" s="49">
        <v>0.98140000000000005</v>
      </c>
      <c r="E122" s="49">
        <v>9.7100000000000006E-2</v>
      </c>
      <c r="F122" s="49">
        <v>0.88759999999999994</v>
      </c>
      <c r="G122" s="49">
        <v>0.79949999999999999</v>
      </c>
      <c r="H122" s="49">
        <v>1.087</v>
      </c>
      <c r="I122" s="66" t="str">
        <f t="shared" si="3"/>
        <v>2.0SoudanianCHIRPS</v>
      </c>
    </row>
    <row r="123" spans="1:9" x14ac:dyDescent="0.35">
      <c r="A123" s="53">
        <v>2</v>
      </c>
      <c r="B123" s="52" t="s">
        <v>69</v>
      </c>
      <c r="C123" s="52" t="s">
        <v>60</v>
      </c>
      <c r="D123" s="53">
        <v>0.94099999999999995</v>
      </c>
      <c r="E123" s="53">
        <v>8.7300000000000003E-2</v>
      </c>
      <c r="F123" s="53">
        <v>0.86319999999999997</v>
      </c>
      <c r="G123" s="53">
        <v>0.76300000000000001</v>
      </c>
      <c r="H123" s="53">
        <v>1.0310999999999999</v>
      </c>
      <c r="I123" s="67" t="str">
        <f t="shared" si="3"/>
        <v>2.0SoudanianERA5_LAND</v>
      </c>
    </row>
    <row r="124" spans="1:9" x14ac:dyDescent="0.35">
      <c r="A124" s="49">
        <v>2</v>
      </c>
      <c r="B124" s="48" t="s">
        <v>69</v>
      </c>
      <c r="C124" s="48" t="s">
        <v>61</v>
      </c>
      <c r="D124" s="49">
        <v>0.99070000000000003</v>
      </c>
      <c r="E124" s="49">
        <v>0.1089</v>
      </c>
      <c r="F124" s="49">
        <v>0.88370000000000004</v>
      </c>
      <c r="G124" s="49">
        <v>0.79090000000000005</v>
      </c>
      <c r="H124" s="49">
        <v>1.1117999999999999</v>
      </c>
      <c r="I124" s="66" t="str">
        <f t="shared" si="3"/>
        <v>2.0SoudanianGPM_IMERG</v>
      </c>
    </row>
    <row r="125" spans="1:9" x14ac:dyDescent="0.35">
      <c r="A125" s="53">
        <v>2</v>
      </c>
      <c r="B125" s="52" t="s">
        <v>69</v>
      </c>
      <c r="C125" s="52" t="s">
        <v>62</v>
      </c>
      <c r="D125" s="53">
        <v>0.90369999999999995</v>
      </c>
      <c r="E125" s="53">
        <v>7.3200000000000001E-2</v>
      </c>
      <c r="F125" s="53">
        <v>0.84350000000000003</v>
      </c>
      <c r="G125" s="53">
        <v>0.73599999999999999</v>
      </c>
      <c r="H125" s="53">
        <v>0.97519999999999996</v>
      </c>
      <c r="I125" s="67" t="str">
        <f t="shared" si="3"/>
        <v>2.0SoudanianMERRA2</v>
      </c>
    </row>
    <row r="126" spans="1:9" x14ac:dyDescent="0.35">
      <c r="A126" s="49">
        <v>2</v>
      </c>
      <c r="B126" s="48" t="s">
        <v>69</v>
      </c>
      <c r="C126" s="48" t="s">
        <v>63</v>
      </c>
      <c r="D126" s="49">
        <v>0.98140000000000005</v>
      </c>
      <c r="E126" s="49">
        <v>0.1023</v>
      </c>
      <c r="F126" s="49">
        <v>0.88270000000000004</v>
      </c>
      <c r="G126" s="49">
        <v>0.79059999999999997</v>
      </c>
      <c r="H126" s="49">
        <v>1.0931999999999999</v>
      </c>
      <c r="I126" s="66" t="str">
        <f t="shared" si="3"/>
        <v>2.0SoudanianPERSIANN_CDR</v>
      </c>
    </row>
    <row r="127" spans="1:9" x14ac:dyDescent="0.35">
      <c r="A127" s="53">
        <v>2</v>
      </c>
      <c r="B127" s="52" t="s">
        <v>69</v>
      </c>
      <c r="C127" s="52" t="s">
        <v>64</v>
      </c>
      <c r="D127" s="53">
        <v>0.97199999999999998</v>
      </c>
      <c r="E127" s="53">
        <v>9.8000000000000004E-2</v>
      </c>
      <c r="F127" s="53">
        <v>0.87919999999999998</v>
      </c>
      <c r="G127" s="53">
        <v>0.78590000000000004</v>
      </c>
      <c r="H127" s="53">
        <v>1.0775999999999999</v>
      </c>
      <c r="I127" s="67" t="str">
        <f t="shared" si="3"/>
        <v>2.0SoudanianTERRACLIMATE</v>
      </c>
    </row>
    <row r="128" spans="1:9" x14ac:dyDescent="0.35">
      <c r="A128" s="49">
        <v>2</v>
      </c>
      <c r="B128" s="48" t="s">
        <v>71</v>
      </c>
      <c r="C128" s="48" t="s">
        <v>4</v>
      </c>
      <c r="D128" s="49">
        <v>0.9587</v>
      </c>
      <c r="E128" s="49">
        <v>0.13020000000000001</v>
      </c>
      <c r="F128" s="49">
        <v>0.83840000000000003</v>
      </c>
      <c r="G128" s="49">
        <v>0.57940000000000003</v>
      </c>
      <c r="H128" s="49">
        <v>1.1022000000000001</v>
      </c>
      <c r="I128" s="66" t="str">
        <f t="shared" si="3"/>
        <v>2.0GuineanCHIRPS</v>
      </c>
    </row>
    <row r="129" spans="1:9" x14ac:dyDescent="0.35">
      <c r="A129" s="53">
        <v>2</v>
      </c>
      <c r="B129" s="52" t="s">
        <v>71</v>
      </c>
      <c r="C129" s="52" t="s">
        <v>60</v>
      </c>
      <c r="D129" s="53">
        <v>0.94350000000000001</v>
      </c>
      <c r="E129" s="53">
        <v>0.20069999999999999</v>
      </c>
      <c r="F129" s="53">
        <v>0.76270000000000004</v>
      </c>
      <c r="G129" s="53">
        <v>0.3921</v>
      </c>
      <c r="H129" s="53">
        <v>1.1803999999999999</v>
      </c>
      <c r="I129" s="67" t="str">
        <f t="shared" si="3"/>
        <v>2.0GuineanERA5_LAND</v>
      </c>
    </row>
    <row r="130" spans="1:9" x14ac:dyDescent="0.35">
      <c r="A130" s="49">
        <v>2</v>
      </c>
      <c r="B130" s="48" t="s">
        <v>71</v>
      </c>
      <c r="C130" s="48" t="s">
        <v>61</v>
      </c>
      <c r="D130" s="49">
        <v>0.95650000000000002</v>
      </c>
      <c r="E130" s="49">
        <v>0.13039999999999999</v>
      </c>
      <c r="F130" s="49">
        <v>0.83650000000000002</v>
      </c>
      <c r="G130" s="49">
        <v>0.57579999999999998</v>
      </c>
      <c r="H130" s="49">
        <v>1.1000000000000001</v>
      </c>
      <c r="I130" s="66" t="str">
        <f t="shared" ref="I130:I161" si="4">TEXT(A130,"0.0")&amp;B130&amp;C130</f>
        <v>2.0GuineanGPM_IMERG</v>
      </c>
    </row>
    <row r="131" spans="1:9" x14ac:dyDescent="0.35">
      <c r="A131" s="53">
        <v>2</v>
      </c>
      <c r="B131" s="52" t="s">
        <v>71</v>
      </c>
      <c r="C131" s="52" t="s">
        <v>62</v>
      </c>
      <c r="D131" s="53">
        <v>0.80220000000000002</v>
      </c>
      <c r="E131" s="53">
        <v>7.9799999999999996E-2</v>
      </c>
      <c r="F131" s="53">
        <v>0.75</v>
      </c>
      <c r="G131" s="53">
        <v>0.47839999999999999</v>
      </c>
      <c r="H131" s="53">
        <v>0.87170000000000003</v>
      </c>
      <c r="I131" s="67" t="str">
        <f t="shared" si="4"/>
        <v>2.0GuineanMERRA2</v>
      </c>
    </row>
    <row r="132" spans="1:9" x14ac:dyDescent="0.35">
      <c r="A132" s="49">
        <v>2</v>
      </c>
      <c r="B132" s="48" t="s">
        <v>71</v>
      </c>
      <c r="C132" s="48" t="s">
        <v>63</v>
      </c>
      <c r="D132" s="49">
        <v>0.93910000000000005</v>
      </c>
      <c r="E132" s="49">
        <v>0.10929999999999999</v>
      </c>
      <c r="F132" s="49">
        <v>0.84209999999999996</v>
      </c>
      <c r="G132" s="49">
        <v>0.60129999999999995</v>
      </c>
      <c r="H132" s="49">
        <v>1.0543</v>
      </c>
      <c r="I132" s="66" t="str">
        <f t="shared" si="4"/>
        <v>2.0GuineanPERSIANN_CDR</v>
      </c>
    </row>
    <row r="133" spans="1:9" x14ac:dyDescent="0.35">
      <c r="A133" s="53">
        <v>2</v>
      </c>
      <c r="B133" s="52" t="s">
        <v>71</v>
      </c>
      <c r="C133" s="52" t="s">
        <v>64</v>
      </c>
      <c r="D133" s="53">
        <v>0.96089999999999998</v>
      </c>
      <c r="E133" s="53">
        <v>0.16600000000000001</v>
      </c>
      <c r="F133" s="53">
        <v>0.80659999999999998</v>
      </c>
      <c r="G133" s="53">
        <v>0.49380000000000002</v>
      </c>
      <c r="H133" s="53">
        <v>1.1521999999999999</v>
      </c>
      <c r="I133" s="67" t="str">
        <f t="shared" si="4"/>
        <v>2.0GuineanTERRACLIMATE</v>
      </c>
    </row>
    <row r="134" spans="1:9" x14ac:dyDescent="0.35">
      <c r="A134" s="49">
        <v>2</v>
      </c>
      <c r="B134" s="48" t="s">
        <v>73</v>
      </c>
      <c r="C134" s="48" t="s">
        <v>4</v>
      </c>
      <c r="D134" s="49">
        <v>0.91790000000000005</v>
      </c>
      <c r="E134" s="49">
        <v>0.1065</v>
      </c>
      <c r="F134" s="49">
        <v>0.82740000000000002</v>
      </c>
      <c r="G134" s="49">
        <v>0.60389999999999999</v>
      </c>
      <c r="H134" s="49">
        <v>1.0274000000000001</v>
      </c>
      <c r="I134" s="66" t="str">
        <f t="shared" si="4"/>
        <v>2.0Guineo-CongoleanCHIRPS</v>
      </c>
    </row>
    <row r="135" spans="1:9" x14ac:dyDescent="0.35">
      <c r="A135" s="53">
        <v>2</v>
      </c>
      <c r="B135" s="52" t="s">
        <v>73</v>
      </c>
      <c r="C135" s="52" t="s">
        <v>60</v>
      </c>
      <c r="D135" s="53">
        <v>0.87860000000000005</v>
      </c>
      <c r="E135" s="53">
        <v>0.18540000000000001</v>
      </c>
      <c r="F135" s="53">
        <v>0.73219999999999996</v>
      </c>
      <c r="G135" s="53">
        <v>0.4078</v>
      </c>
      <c r="H135" s="53">
        <v>1.0786</v>
      </c>
      <c r="I135" s="67" t="str">
        <f t="shared" si="4"/>
        <v>2.0Guineo-CongoleanERA5_LAND</v>
      </c>
    </row>
    <row r="136" spans="1:9" x14ac:dyDescent="0.35">
      <c r="A136" s="49">
        <v>2</v>
      </c>
      <c r="B136" s="48" t="s">
        <v>73</v>
      </c>
      <c r="C136" s="48" t="s">
        <v>61</v>
      </c>
      <c r="D136" s="49">
        <v>0.90600000000000003</v>
      </c>
      <c r="E136" s="49">
        <v>5.0200000000000002E-2</v>
      </c>
      <c r="F136" s="49">
        <v>0.86460000000000004</v>
      </c>
      <c r="G136" s="49">
        <v>0.69589999999999996</v>
      </c>
      <c r="H136" s="49">
        <v>0.95379999999999998</v>
      </c>
      <c r="I136" s="66" t="str">
        <f t="shared" si="4"/>
        <v>2.0Guineo-CongoleanGPM_IMERG</v>
      </c>
    </row>
    <row r="137" spans="1:9" x14ac:dyDescent="0.35">
      <c r="A137" s="53">
        <v>2</v>
      </c>
      <c r="B137" s="52" t="s">
        <v>73</v>
      </c>
      <c r="C137" s="52" t="s">
        <v>62</v>
      </c>
      <c r="D137" s="53">
        <v>0.93159999999999998</v>
      </c>
      <c r="E137" s="53">
        <v>0.1444</v>
      </c>
      <c r="F137" s="53">
        <v>0.80500000000000005</v>
      </c>
      <c r="G137" s="53">
        <v>0.54300000000000004</v>
      </c>
      <c r="H137" s="53">
        <v>1.0889</v>
      </c>
      <c r="I137" s="67" t="str">
        <f t="shared" si="4"/>
        <v>2.0Guineo-CongoleanMERRA2</v>
      </c>
    </row>
    <row r="138" spans="1:9" x14ac:dyDescent="0.35">
      <c r="A138" s="49">
        <v>2</v>
      </c>
      <c r="B138" s="48" t="s">
        <v>73</v>
      </c>
      <c r="C138" s="48" t="s">
        <v>63</v>
      </c>
      <c r="D138" s="49">
        <v>0.91969999999999996</v>
      </c>
      <c r="E138" s="49">
        <v>0.1195</v>
      </c>
      <c r="F138" s="49">
        <v>0.81759999999999999</v>
      </c>
      <c r="G138" s="49">
        <v>0.57989999999999997</v>
      </c>
      <c r="H138" s="49">
        <v>1.0444</v>
      </c>
      <c r="I138" s="66" t="str">
        <f t="shared" si="4"/>
        <v>2.0Guineo-CongoleanPERSIANN_CDR</v>
      </c>
    </row>
    <row r="139" spans="1:9" x14ac:dyDescent="0.35">
      <c r="A139" s="53">
        <v>2</v>
      </c>
      <c r="B139" s="52" t="s">
        <v>73</v>
      </c>
      <c r="C139" s="52" t="s">
        <v>64</v>
      </c>
      <c r="D139" s="53">
        <v>0.85470000000000002</v>
      </c>
      <c r="E139" s="53">
        <v>0.12130000000000001</v>
      </c>
      <c r="F139" s="53">
        <v>0.76449999999999996</v>
      </c>
      <c r="G139" s="53">
        <v>0.49880000000000002</v>
      </c>
      <c r="H139" s="53">
        <v>0.97260000000000002</v>
      </c>
      <c r="I139" s="67" t="str">
        <f t="shared" si="4"/>
        <v>2.0Guineo-CongoleanTERRACLIMATE</v>
      </c>
    </row>
    <row r="140" spans="1:9" x14ac:dyDescent="0.35">
      <c r="A140" s="49">
        <v>2</v>
      </c>
      <c r="B140" s="48" t="s">
        <v>75</v>
      </c>
      <c r="C140" s="48" t="s">
        <v>4</v>
      </c>
      <c r="D140" s="49">
        <v>0.94199999999999995</v>
      </c>
      <c r="E140" s="49">
        <v>0.1072</v>
      </c>
      <c r="F140" s="49">
        <v>0.84630000000000005</v>
      </c>
      <c r="G140" s="49">
        <v>0.73040000000000005</v>
      </c>
      <c r="H140" s="49">
        <v>1.0550999999999999</v>
      </c>
      <c r="I140" s="66" t="str">
        <f t="shared" si="4"/>
        <v>2.0All West AfricaCHIRPS</v>
      </c>
    </row>
    <row r="141" spans="1:9" x14ac:dyDescent="0.35">
      <c r="A141" s="53">
        <v>2</v>
      </c>
      <c r="B141" s="52" t="s">
        <v>75</v>
      </c>
      <c r="C141" s="52" t="s">
        <v>60</v>
      </c>
      <c r="D141" s="53">
        <v>0.87770000000000004</v>
      </c>
      <c r="E141" s="53">
        <v>0.14910000000000001</v>
      </c>
      <c r="F141" s="53">
        <v>0.76070000000000004</v>
      </c>
      <c r="G141" s="53">
        <v>0.59740000000000004</v>
      </c>
      <c r="H141" s="53">
        <v>1.0316000000000001</v>
      </c>
      <c r="I141" s="67" t="str">
        <f t="shared" si="4"/>
        <v>2.0All West AfricaERA5_LAND</v>
      </c>
    </row>
    <row r="142" spans="1:9" x14ac:dyDescent="0.35">
      <c r="A142" s="49">
        <v>2</v>
      </c>
      <c r="B142" s="48" t="s">
        <v>75</v>
      </c>
      <c r="C142" s="48" t="s">
        <v>61</v>
      </c>
      <c r="D142" s="49">
        <v>0.94720000000000004</v>
      </c>
      <c r="E142" s="49">
        <v>9.5399999999999999E-2</v>
      </c>
      <c r="F142" s="49">
        <v>0.86119999999999997</v>
      </c>
      <c r="G142" s="49">
        <v>0.75560000000000005</v>
      </c>
      <c r="H142" s="49">
        <v>1.0470999999999999</v>
      </c>
      <c r="I142" s="66" t="str">
        <f t="shared" si="4"/>
        <v>2.0All West AfricaGPM_IMERG</v>
      </c>
    </row>
    <row r="143" spans="1:9" x14ac:dyDescent="0.35">
      <c r="A143" s="53">
        <v>2</v>
      </c>
      <c r="B143" s="52" t="s">
        <v>75</v>
      </c>
      <c r="C143" s="52" t="s">
        <v>62</v>
      </c>
      <c r="D143" s="53">
        <v>0.88749999999999996</v>
      </c>
      <c r="E143" s="53">
        <v>0.11509999999999999</v>
      </c>
      <c r="F143" s="53">
        <v>0.79569999999999996</v>
      </c>
      <c r="G143" s="53">
        <v>0.65490000000000004</v>
      </c>
      <c r="H143" s="53">
        <v>1.0028999999999999</v>
      </c>
      <c r="I143" s="67" t="str">
        <f t="shared" si="4"/>
        <v>2.0All West AfricaMERRA2</v>
      </c>
    </row>
    <row r="144" spans="1:9" x14ac:dyDescent="0.35">
      <c r="A144" s="49">
        <v>2</v>
      </c>
      <c r="B144" s="48" t="s">
        <v>75</v>
      </c>
      <c r="C144" s="48" t="s">
        <v>63</v>
      </c>
      <c r="D144" s="49">
        <v>0.93859999999999999</v>
      </c>
      <c r="E144" s="49">
        <v>0.1148</v>
      </c>
      <c r="F144" s="49">
        <v>0.8367</v>
      </c>
      <c r="G144" s="49">
        <v>0.71419999999999995</v>
      </c>
      <c r="H144" s="49">
        <v>1.0603</v>
      </c>
      <c r="I144" s="66" t="str">
        <f t="shared" si="4"/>
        <v>2.0All West AfricaPERSIANN_CDR</v>
      </c>
    </row>
    <row r="145" spans="1:9" x14ac:dyDescent="0.35">
      <c r="A145" s="53">
        <v>2</v>
      </c>
      <c r="B145" s="52" t="s">
        <v>75</v>
      </c>
      <c r="C145" s="52" t="s">
        <v>64</v>
      </c>
      <c r="D145" s="53">
        <v>0.91959999999999997</v>
      </c>
      <c r="E145" s="53">
        <v>0.1275</v>
      </c>
      <c r="F145" s="53">
        <v>0.81069999999999998</v>
      </c>
      <c r="G145" s="53">
        <v>0.67279999999999995</v>
      </c>
      <c r="H145" s="53">
        <v>1.054</v>
      </c>
      <c r="I145" s="67" t="str">
        <f t="shared" si="4"/>
        <v>2.0All West AfricaTERRACLIMATE</v>
      </c>
    </row>
    <row r="146" spans="1:9" x14ac:dyDescent="0.35">
      <c r="A146" s="49">
        <v>5</v>
      </c>
      <c r="B146" s="48" t="s">
        <v>66</v>
      </c>
      <c r="C146" s="48" t="s">
        <v>4</v>
      </c>
      <c r="D146" s="48"/>
      <c r="E146" s="48"/>
      <c r="F146" s="48"/>
      <c r="G146" s="48"/>
      <c r="H146" s="48"/>
      <c r="I146" s="66" t="str">
        <f t="shared" si="4"/>
        <v>5.0SaharianCHIRPS</v>
      </c>
    </row>
    <row r="147" spans="1:9" x14ac:dyDescent="0.35">
      <c r="A147" s="53">
        <v>5</v>
      </c>
      <c r="B147" s="52" t="s">
        <v>66</v>
      </c>
      <c r="C147" s="52" t="s">
        <v>60</v>
      </c>
      <c r="D147" s="52"/>
      <c r="E147" s="52"/>
      <c r="F147" s="52"/>
      <c r="G147" s="52"/>
      <c r="H147" s="52"/>
      <c r="I147" s="67" t="str">
        <f t="shared" si="4"/>
        <v>5.0SaharianERA5_LAND</v>
      </c>
    </row>
    <row r="148" spans="1:9" x14ac:dyDescent="0.35">
      <c r="A148" s="49">
        <v>5</v>
      </c>
      <c r="B148" s="48" t="s">
        <v>66</v>
      </c>
      <c r="C148" s="48" t="s">
        <v>61</v>
      </c>
      <c r="D148" s="48"/>
      <c r="E148" s="48"/>
      <c r="F148" s="48"/>
      <c r="G148" s="48"/>
      <c r="H148" s="48"/>
      <c r="I148" s="66" t="str">
        <f t="shared" si="4"/>
        <v>5.0SaharianGPM_IMERG</v>
      </c>
    </row>
    <row r="149" spans="1:9" x14ac:dyDescent="0.35">
      <c r="A149" s="53">
        <v>5</v>
      </c>
      <c r="B149" s="52" t="s">
        <v>66</v>
      </c>
      <c r="C149" s="52" t="s">
        <v>62</v>
      </c>
      <c r="D149" s="52"/>
      <c r="E149" s="53">
        <v>1</v>
      </c>
      <c r="F149" s="53">
        <v>0</v>
      </c>
      <c r="G149" s="53">
        <v>0</v>
      </c>
      <c r="H149" s="52"/>
      <c r="I149" s="67" t="str">
        <f t="shared" si="4"/>
        <v>5.0SaharianMERRA2</v>
      </c>
    </row>
    <row r="150" spans="1:9" x14ac:dyDescent="0.35">
      <c r="A150" s="49">
        <v>5</v>
      </c>
      <c r="B150" s="48" t="s">
        <v>66</v>
      </c>
      <c r="C150" s="48" t="s">
        <v>63</v>
      </c>
      <c r="D150" s="48"/>
      <c r="E150" s="48"/>
      <c r="F150" s="48"/>
      <c r="G150" s="48"/>
      <c r="H150" s="48"/>
      <c r="I150" s="66" t="str">
        <f t="shared" si="4"/>
        <v>5.0SaharianPERSIANN_CDR</v>
      </c>
    </row>
    <row r="151" spans="1:9" x14ac:dyDescent="0.35">
      <c r="A151" s="53">
        <v>5</v>
      </c>
      <c r="B151" s="52" t="s">
        <v>66</v>
      </c>
      <c r="C151" s="52" t="s">
        <v>64</v>
      </c>
      <c r="D151" s="52"/>
      <c r="E151" s="52"/>
      <c r="F151" s="52"/>
      <c r="G151" s="52"/>
      <c r="H151" s="52"/>
      <c r="I151" s="67" t="str">
        <f t="shared" si="4"/>
        <v>5.0SaharianTERRACLIMATE</v>
      </c>
    </row>
    <row r="152" spans="1:9" x14ac:dyDescent="0.35">
      <c r="A152" s="49">
        <v>5</v>
      </c>
      <c r="B152" s="48" t="s">
        <v>3</v>
      </c>
      <c r="C152" s="48" t="s">
        <v>4</v>
      </c>
      <c r="D152" s="49">
        <v>0.83330000000000004</v>
      </c>
      <c r="E152" s="49">
        <v>8.1100000000000005E-2</v>
      </c>
      <c r="F152" s="49">
        <v>0.77629999999999999</v>
      </c>
      <c r="G152" s="49">
        <v>0.73870000000000002</v>
      </c>
      <c r="H152" s="49">
        <v>0.90690000000000004</v>
      </c>
      <c r="I152" s="66" t="str">
        <f t="shared" si="4"/>
        <v>5.0SahelianCHIRPS</v>
      </c>
    </row>
    <row r="153" spans="1:9" x14ac:dyDescent="0.35">
      <c r="A153" s="53">
        <v>5</v>
      </c>
      <c r="B153" s="52" t="s">
        <v>3</v>
      </c>
      <c r="C153" s="52" t="s">
        <v>60</v>
      </c>
      <c r="D153" s="53">
        <v>0.60289999999999999</v>
      </c>
      <c r="E153" s="53">
        <v>6.8199999999999997E-2</v>
      </c>
      <c r="F153" s="53">
        <v>0.57750000000000001</v>
      </c>
      <c r="G153" s="53">
        <v>0.52769999999999995</v>
      </c>
      <c r="H153" s="53">
        <v>0.64710000000000001</v>
      </c>
      <c r="I153" s="67" t="str">
        <f t="shared" si="4"/>
        <v>5.0SahelianERA5_LAND</v>
      </c>
    </row>
    <row r="154" spans="1:9" x14ac:dyDescent="0.35">
      <c r="A154" s="49">
        <v>5</v>
      </c>
      <c r="B154" s="48" t="s">
        <v>3</v>
      </c>
      <c r="C154" s="48" t="s">
        <v>61</v>
      </c>
      <c r="D154" s="49">
        <v>0.90690000000000004</v>
      </c>
      <c r="E154" s="49">
        <v>0.1148</v>
      </c>
      <c r="F154" s="49">
        <v>0.81140000000000001</v>
      </c>
      <c r="G154" s="49">
        <v>0.77659999999999996</v>
      </c>
      <c r="H154" s="49">
        <v>1.0245</v>
      </c>
      <c r="I154" s="66" t="str">
        <f t="shared" si="4"/>
        <v>5.0SahelianGPM_IMERG</v>
      </c>
    </row>
    <row r="155" spans="1:9" x14ac:dyDescent="0.35">
      <c r="A155" s="53">
        <v>5</v>
      </c>
      <c r="B155" s="52" t="s">
        <v>3</v>
      </c>
      <c r="C155" s="52" t="s">
        <v>62</v>
      </c>
      <c r="D155" s="53">
        <v>0.75</v>
      </c>
      <c r="E155" s="53">
        <v>0.1</v>
      </c>
      <c r="F155" s="53">
        <v>0.69230000000000003</v>
      </c>
      <c r="G155" s="53">
        <v>0.64600000000000002</v>
      </c>
      <c r="H155" s="53">
        <v>0.83330000000000004</v>
      </c>
      <c r="I155" s="67" t="str">
        <f t="shared" si="4"/>
        <v>5.0SahelianMERRA2</v>
      </c>
    </row>
    <row r="156" spans="1:9" x14ac:dyDescent="0.35">
      <c r="A156" s="49">
        <v>5</v>
      </c>
      <c r="B156" s="48" t="s">
        <v>3</v>
      </c>
      <c r="C156" s="48" t="s">
        <v>63</v>
      </c>
      <c r="D156" s="49">
        <v>0.88729999999999998</v>
      </c>
      <c r="E156" s="49">
        <v>0.1847</v>
      </c>
      <c r="F156" s="49">
        <v>0.73880000000000001</v>
      </c>
      <c r="G156" s="49">
        <v>0.69120000000000004</v>
      </c>
      <c r="H156" s="49">
        <v>1.0882000000000001</v>
      </c>
      <c r="I156" s="66" t="str">
        <f t="shared" si="4"/>
        <v>5.0SahelianPERSIANN_CDR</v>
      </c>
    </row>
    <row r="157" spans="1:9" x14ac:dyDescent="0.35">
      <c r="A157" s="53">
        <v>5</v>
      </c>
      <c r="B157" s="52" t="s">
        <v>3</v>
      </c>
      <c r="C157" s="52" t="s">
        <v>64</v>
      </c>
      <c r="D157" s="53">
        <v>0.84309999999999996</v>
      </c>
      <c r="E157" s="53">
        <v>0.12690000000000001</v>
      </c>
      <c r="F157" s="53">
        <v>0.75109999999999999</v>
      </c>
      <c r="G157" s="53">
        <v>0.70850000000000002</v>
      </c>
      <c r="H157" s="53">
        <v>0.9657</v>
      </c>
      <c r="I157" s="67" t="str">
        <f t="shared" si="4"/>
        <v>5.0SahelianTERRACLIMATE</v>
      </c>
    </row>
    <row r="158" spans="1:9" x14ac:dyDescent="0.35">
      <c r="A158" s="49">
        <v>5</v>
      </c>
      <c r="B158" s="48" t="s">
        <v>69</v>
      </c>
      <c r="C158" s="48" t="s">
        <v>4</v>
      </c>
      <c r="D158" s="49">
        <v>0.93489999999999995</v>
      </c>
      <c r="E158" s="49">
        <v>0.1862</v>
      </c>
      <c r="F158" s="49">
        <v>0.77010000000000001</v>
      </c>
      <c r="G158" s="49">
        <v>0.67959999999999998</v>
      </c>
      <c r="H158" s="49">
        <v>1.1488</v>
      </c>
      <c r="I158" s="66" t="str">
        <f t="shared" si="4"/>
        <v>5.0SoudanianCHIRPS</v>
      </c>
    </row>
    <row r="159" spans="1:9" x14ac:dyDescent="0.35">
      <c r="A159" s="53">
        <v>5</v>
      </c>
      <c r="B159" s="52" t="s">
        <v>69</v>
      </c>
      <c r="C159" s="52" t="s">
        <v>60</v>
      </c>
      <c r="D159" s="53">
        <v>0.87439999999999996</v>
      </c>
      <c r="E159" s="53">
        <v>0.1532</v>
      </c>
      <c r="F159" s="53">
        <v>0.755</v>
      </c>
      <c r="G159" s="53">
        <v>0.66610000000000003</v>
      </c>
      <c r="H159" s="53">
        <v>1.0326</v>
      </c>
      <c r="I159" s="67" t="str">
        <f t="shared" si="4"/>
        <v>5.0SoudanianERA5_LAND</v>
      </c>
    </row>
    <row r="160" spans="1:9" x14ac:dyDescent="0.35">
      <c r="A160" s="49">
        <v>5</v>
      </c>
      <c r="B160" s="48" t="s">
        <v>69</v>
      </c>
      <c r="C160" s="48" t="s">
        <v>61</v>
      </c>
      <c r="D160" s="49">
        <v>0.98140000000000005</v>
      </c>
      <c r="E160" s="49">
        <v>0.1822</v>
      </c>
      <c r="F160" s="49">
        <v>0.80530000000000002</v>
      </c>
      <c r="G160" s="49">
        <v>0.72430000000000005</v>
      </c>
      <c r="H160" s="49">
        <v>1.2</v>
      </c>
      <c r="I160" s="66" t="str">
        <f t="shared" si="4"/>
        <v>5.0SoudanianGPM_IMERG</v>
      </c>
    </row>
    <row r="161" spans="1:9" x14ac:dyDescent="0.35">
      <c r="A161" s="53">
        <v>5</v>
      </c>
      <c r="B161" s="52" t="s">
        <v>69</v>
      </c>
      <c r="C161" s="52" t="s">
        <v>62</v>
      </c>
      <c r="D161" s="53">
        <v>0.75349999999999995</v>
      </c>
      <c r="E161" s="53">
        <v>0.13830000000000001</v>
      </c>
      <c r="F161" s="53">
        <v>0.67220000000000002</v>
      </c>
      <c r="G161" s="53">
        <v>0.57269999999999999</v>
      </c>
      <c r="H161" s="53">
        <v>0.87439999999999996</v>
      </c>
      <c r="I161" s="67" t="str">
        <f t="shared" si="4"/>
        <v>5.0SoudanianMERRA2</v>
      </c>
    </row>
    <row r="162" spans="1:9" x14ac:dyDescent="0.35">
      <c r="A162" s="49">
        <v>5</v>
      </c>
      <c r="B162" s="48" t="s">
        <v>69</v>
      </c>
      <c r="C162" s="48" t="s">
        <v>63</v>
      </c>
      <c r="D162" s="49">
        <v>0.9395</v>
      </c>
      <c r="E162" s="49">
        <v>0.1855</v>
      </c>
      <c r="F162" s="49">
        <v>0.77390000000000003</v>
      </c>
      <c r="G162" s="49">
        <v>0.68440000000000001</v>
      </c>
      <c r="H162" s="49">
        <v>1.1535</v>
      </c>
      <c r="I162" s="66" t="str">
        <f t="shared" ref="I162:I181" si="5">TEXT(A162,"0.0")&amp;B162&amp;C162</f>
        <v>5.0SoudanianPERSIANN_CDR</v>
      </c>
    </row>
    <row r="163" spans="1:9" x14ac:dyDescent="0.35">
      <c r="A163" s="53">
        <v>5</v>
      </c>
      <c r="B163" s="52" t="s">
        <v>69</v>
      </c>
      <c r="C163" s="52" t="s">
        <v>64</v>
      </c>
      <c r="D163" s="53">
        <v>0.90700000000000003</v>
      </c>
      <c r="E163" s="53">
        <v>0.20730000000000001</v>
      </c>
      <c r="F163" s="53">
        <v>0.73309999999999997</v>
      </c>
      <c r="G163" s="53">
        <v>0.63119999999999998</v>
      </c>
      <c r="H163" s="53">
        <v>1.1442000000000001</v>
      </c>
      <c r="I163" s="67" t="str">
        <f t="shared" si="5"/>
        <v>5.0SoudanianTERRACLIMATE</v>
      </c>
    </row>
    <row r="164" spans="1:9" x14ac:dyDescent="0.35">
      <c r="A164" s="49">
        <v>5</v>
      </c>
      <c r="B164" s="48" t="s">
        <v>71</v>
      </c>
      <c r="C164" s="48" t="s">
        <v>4</v>
      </c>
      <c r="D164" s="49">
        <v>0.88</v>
      </c>
      <c r="E164" s="49">
        <v>0.16189999999999999</v>
      </c>
      <c r="F164" s="49">
        <v>0.75209999999999999</v>
      </c>
      <c r="G164" s="49">
        <v>0.60409999999999997</v>
      </c>
      <c r="H164" s="49">
        <v>1.05</v>
      </c>
      <c r="I164" s="66" t="str">
        <f t="shared" si="5"/>
        <v>5.0GuineanCHIRPS</v>
      </c>
    </row>
    <row r="165" spans="1:9" x14ac:dyDescent="0.35">
      <c r="A165" s="53">
        <v>5</v>
      </c>
      <c r="B165" s="52" t="s">
        <v>71</v>
      </c>
      <c r="C165" s="52" t="s">
        <v>60</v>
      </c>
      <c r="D165" s="53">
        <v>0.81669999999999998</v>
      </c>
      <c r="E165" s="53">
        <v>0.2462</v>
      </c>
      <c r="F165" s="53">
        <v>0.64470000000000005</v>
      </c>
      <c r="G165" s="53">
        <v>0.44800000000000001</v>
      </c>
      <c r="H165" s="53">
        <v>1.0832999999999999</v>
      </c>
      <c r="I165" s="67" t="str">
        <f t="shared" si="5"/>
        <v>5.0GuineanERA5_LAND</v>
      </c>
    </row>
    <row r="166" spans="1:9" x14ac:dyDescent="0.35">
      <c r="A166" s="49">
        <v>5</v>
      </c>
      <c r="B166" s="48" t="s">
        <v>71</v>
      </c>
      <c r="C166" s="48" t="s">
        <v>61</v>
      </c>
      <c r="D166" s="49">
        <v>0.93</v>
      </c>
      <c r="E166" s="49">
        <v>0.1696</v>
      </c>
      <c r="F166" s="49">
        <v>0.78149999999999997</v>
      </c>
      <c r="G166" s="49">
        <v>0.64059999999999995</v>
      </c>
      <c r="H166" s="49">
        <v>1.1200000000000001</v>
      </c>
      <c r="I166" s="66" t="str">
        <f t="shared" si="5"/>
        <v>5.0GuineanGPM_IMERG</v>
      </c>
    </row>
    <row r="167" spans="1:9" x14ac:dyDescent="0.35">
      <c r="A167" s="53">
        <v>5</v>
      </c>
      <c r="B167" s="52" t="s">
        <v>71</v>
      </c>
      <c r="C167" s="52" t="s">
        <v>62</v>
      </c>
      <c r="D167" s="53">
        <v>0.63</v>
      </c>
      <c r="E167" s="53">
        <v>0.129</v>
      </c>
      <c r="F167" s="53">
        <v>0.57620000000000005</v>
      </c>
      <c r="G167" s="53">
        <v>0.41489999999999999</v>
      </c>
      <c r="H167" s="53">
        <v>0.72330000000000005</v>
      </c>
      <c r="I167" s="67" t="str">
        <f t="shared" si="5"/>
        <v>5.0GuineanMERRA2</v>
      </c>
    </row>
    <row r="168" spans="1:9" x14ac:dyDescent="0.35">
      <c r="A168" s="49">
        <v>5</v>
      </c>
      <c r="B168" s="48" t="s">
        <v>71</v>
      </c>
      <c r="C168" s="48" t="s">
        <v>63</v>
      </c>
      <c r="D168" s="49">
        <v>0.84330000000000005</v>
      </c>
      <c r="E168" s="49">
        <v>0.1678</v>
      </c>
      <c r="F168" s="49">
        <v>0.7208</v>
      </c>
      <c r="G168" s="49">
        <v>0.56320000000000003</v>
      </c>
      <c r="H168" s="49">
        <v>1.0133000000000001</v>
      </c>
      <c r="I168" s="66" t="str">
        <f t="shared" si="5"/>
        <v>5.0GuineanPERSIANN_CDR</v>
      </c>
    </row>
    <row r="169" spans="1:9" x14ac:dyDescent="0.35">
      <c r="A169" s="53">
        <v>5</v>
      </c>
      <c r="B169" s="52" t="s">
        <v>71</v>
      </c>
      <c r="C169" s="52" t="s">
        <v>64</v>
      </c>
      <c r="D169" s="53">
        <v>0.90329999999999999</v>
      </c>
      <c r="E169" s="53">
        <v>0.2145</v>
      </c>
      <c r="F169" s="53">
        <v>0.72460000000000002</v>
      </c>
      <c r="G169" s="53">
        <v>0.55269999999999997</v>
      </c>
      <c r="H169" s="53">
        <v>1.1499999999999999</v>
      </c>
      <c r="I169" s="67" t="str">
        <f t="shared" si="5"/>
        <v>5.0GuineanTERRACLIMATE</v>
      </c>
    </row>
    <row r="170" spans="1:9" x14ac:dyDescent="0.35">
      <c r="A170" s="49">
        <v>5</v>
      </c>
      <c r="B170" s="48" t="s">
        <v>73</v>
      </c>
      <c r="C170" s="48" t="s">
        <v>4</v>
      </c>
      <c r="D170" s="49">
        <v>0.85780000000000001</v>
      </c>
      <c r="E170" s="49">
        <v>0.2311</v>
      </c>
      <c r="F170" s="49">
        <v>0.68200000000000005</v>
      </c>
      <c r="G170" s="49">
        <v>0.59850000000000003</v>
      </c>
      <c r="H170" s="49">
        <v>1.1155999999999999</v>
      </c>
      <c r="I170" s="66" t="str">
        <f t="shared" si="5"/>
        <v>5.0Guineo-CongoleanCHIRPS</v>
      </c>
    </row>
    <row r="171" spans="1:9" x14ac:dyDescent="0.35">
      <c r="A171" s="53">
        <v>5</v>
      </c>
      <c r="B171" s="52" t="s">
        <v>73</v>
      </c>
      <c r="C171" s="52" t="s">
        <v>60</v>
      </c>
      <c r="D171" s="53">
        <v>0.57330000000000003</v>
      </c>
      <c r="E171" s="53">
        <v>0.30270000000000002</v>
      </c>
      <c r="F171" s="53">
        <v>0.45910000000000001</v>
      </c>
      <c r="G171" s="53">
        <v>0.3604</v>
      </c>
      <c r="H171" s="53">
        <v>0.82220000000000004</v>
      </c>
      <c r="I171" s="67" t="str">
        <f t="shared" si="5"/>
        <v>5.0Guineo-CongoleanERA5_LAND</v>
      </c>
    </row>
    <row r="172" spans="1:9" x14ac:dyDescent="0.35">
      <c r="A172" s="49">
        <v>5</v>
      </c>
      <c r="B172" s="48" t="s">
        <v>73</v>
      </c>
      <c r="C172" s="48" t="s">
        <v>61</v>
      </c>
      <c r="D172" s="49">
        <v>0.78220000000000001</v>
      </c>
      <c r="E172" s="49">
        <v>0.13300000000000001</v>
      </c>
      <c r="F172" s="49">
        <v>0.69840000000000002</v>
      </c>
      <c r="G172" s="49">
        <v>0.62819999999999998</v>
      </c>
      <c r="H172" s="49">
        <v>0.9022</v>
      </c>
      <c r="I172" s="66" t="str">
        <f t="shared" si="5"/>
        <v>5.0Guineo-CongoleanGPM_IMERG</v>
      </c>
    </row>
    <row r="173" spans="1:9" x14ac:dyDescent="0.35">
      <c r="A173" s="53">
        <v>5</v>
      </c>
      <c r="B173" s="52" t="s">
        <v>73</v>
      </c>
      <c r="C173" s="52" t="s">
        <v>62</v>
      </c>
      <c r="D173" s="53">
        <v>0.74219999999999997</v>
      </c>
      <c r="E173" s="53">
        <v>0.30130000000000001</v>
      </c>
      <c r="F173" s="53">
        <v>0.56230000000000002</v>
      </c>
      <c r="G173" s="53">
        <v>0.46050000000000002</v>
      </c>
      <c r="H173" s="53">
        <v>1.0622</v>
      </c>
      <c r="I173" s="67" t="str">
        <f t="shared" si="5"/>
        <v>5.0Guineo-CongoleanMERRA2</v>
      </c>
    </row>
    <row r="174" spans="1:9" x14ac:dyDescent="0.35">
      <c r="A174" s="49">
        <v>5</v>
      </c>
      <c r="B174" s="48" t="s">
        <v>73</v>
      </c>
      <c r="C174" s="48" t="s">
        <v>63</v>
      </c>
      <c r="D174" s="49">
        <v>0.77329999999999999</v>
      </c>
      <c r="E174" s="49">
        <v>0.2162</v>
      </c>
      <c r="F174" s="49">
        <v>0.63739999999999997</v>
      </c>
      <c r="G174" s="49">
        <v>0.55200000000000005</v>
      </c>
      <c r="H174" s="49">
        <v>0.98670000000000002</v>
      </c>
      <c r="I174" s="66" t="str">
        <f t="shared" si="5"/>
        <v>5.0Guineo-CongoleanPERSIANN_CDR</v>
      </c>
    </row>
    <row r="175" spans="1:9" x14ac:dyDescent="0.35">
      <c r="A175" s="53">
        <v>5</v>
      </c>
      <c r="B175" s="52" t="s">
        <v>73</v>
      </c>
      <c r="C175" s="52" t="s">
        <v>64</v>
      </c>
      <c r="D175" s="53">
        <v>0.76890000000000003</v>
      </c>
      <c r="E175" s="53">
        <v>0.26690000000000003</v>
      </c>
      <c r="F175" s="53">
        <v>0.60070000000000001</v>
      </c>
      <c r="G175" s="53">
        <v>0.50580000000000003</v>
      </c>
      <c r="H175" s="53">
        <v>1.0488999999999999</v>
      </c>
      <c r="I175" s="67" t="str">
        <f t="shared" si="5"/>
        <v>5.0Guineo-CongoleanTERRACLIMATE</v>
      </c>
    </row>
    <row r="176" spans="1:9" x14ac:dyDescent="0.35">
      <c r="A176" s="49">
        <v>5</v>
      </c>
      <c r="B176" s="48" t="s">
        <v>75</v>
      </c>
      <c r="C176" s="48" t="s">
        <v>4</v>
      </c>
      <c r="D176" s="49">
        <v>0.87709999999999999</v>
      </c>
      <c r="E176" s="49">
        <v>0.17030000000000001</v>
      </c>
      <c r="F176" s="49">
        <v>0.74329999999999996</v>
      </c>
      <c r="G176" s="49">
        <v>0.67079999999999995</v>
      </c>
      <c r="H176" s="49">
        <v>1.0571999999999999</v>
      </c>
      <c r="I176" s="66" t="str">
        <f t="shared" si="5"/>
        <v>5.0All West AfricaCHIRPS</v>
      </c>
    </row>
    <row r="177" spans="1:9" x14ac:dyDescent="0.35">
      <c r="A177" s="53">
        <v>5</v>
      </c>
      <c r="B177" s="52" t="s">
        <v>75</v>
      </c>
      <c r="C177" s="52" t="s">
        <v>60</v>
      </c>
      <c r="D177" s="53">
        <v>0.72560000000000002</v>
      </c>
      <c r="E177" s="53">
        <v>0.2072</v>
      </c>
      <c r="F177" s="53">
        <v>0.61</v>
      </c>
      <c r="G177" s="53">
        <v>0.51900000000000002</v>
      </c>
      <c r="H177" s="53">
        <v>0.9153</v>
      </c>
      <c r="I177" s="67" t="str">
        <f t="shared" si="5"/>
        <v>5.0All West AfricaERA5_LAND</v>
      </c>
    </row>
    <row r="178" spans="1:9" x14ac:dyDescent="0.35">
      <c r="A178" s="49">
        <v>5</v>
      </c>
      <c r="B178" s="48" t="s">
        <v>75</v>
      </c>
      <c r="C178" s="48" t="s">
        <v>61</v>
      </c>
      <c r="D178" s="49">
        <v>0.90149999999999997</v>
      </c>
      <c r="E178" s="49">
        <v>0.15409999999999999</v>
      </c>
      <c r="F178" s="49">
        <v>0.77429999999999999</v>
      </c>
      <c r="G178" s="49">
        <v>0.70879999999999999</v>
      </c>
      <c r="H178" s="49">
        <v>1.0657000000000001</v>
      </c>
      <c r="I178" s="66" t="str">
        <f t="shared" si="5"/>
        <v>5.0All West AfricaGPM_IMERG</v>
      </c>
    </row>
    <row r="179" spans="1:9" x14ac:dyDescent="0.35">
      <c r="A179" s="53">
        <v>5</v>
      </c>
      <c r="B179" s="52" t="s">
        <v>75</v>
      </c>
      <c r="C179" s="52" t="s">
        <v>62</v>
      </c>
      <c r="D179" s="53">
        <v>0.71079999999999999</v>
      </c>
      <c r="E179" s="53">
        <v>0.1767</v>
      </c>
      <c r="F179" s="53">
        <v>0.61670000000000003</v>
      </c>
      <c r="G179" s="53">
        <v>0.5302</v>
      </c>
      <c r="H179" s="53">
        <v>0.86329999999999996</v>
      </c>
      <c r="I179" s="67" t="str">
        <f t="shared" si="5"/>
        <v>5.0All West AfricaMERRA2</v>
      </c>
    </row>
    <row r="180" spans="1:9" x14ac:dyDescent="0.35">
      <c r="A180" s="49">
        <v>5</v>
      </c>
      <c r="B180" s="48" t="s">
        <v>75</v>
      </c>
      <c r="C180" s="48" t="s">
        <v>63</v>
      </c>
      <c r="D180" s="49">
        <v>0.85809999999999997</v>
      </c>
      <c r="E180" s="49">
        <v>0.1867</v>
      </c>
      <c r="F180" s="49">
        <v>0.71679999999999999</v>
      </c>
      <c r="G180" s="49">
        <v>0.63849999999999996</v>
      </c>
      <c r="H180" s="49">
        <v>1.0550999999999999</v>
      </c>
      <c r="I180" s="66" t="str">
        <f t="shared" si="5"/>
        <v>5.0All West AfricaPERSIANN_CDR</v>
      </c>
    </row>
    <row r="181" spans="1:9" x14ac:dyDescent="0.35">
      <c r="A181" s="53">
        <v>5</v>
      </c>
      <c r="B181" s="52" t="s">
        <v>75</v>
      </c>
      <c r="C181" s="52" t="s">
        <v>64</v>
      </c>
      <c r="D181" s="53">
        <v>0.85909999999999997</v>
      </c>
      <c r="E181" s="53">
        <v>0.20799999999999999</v>
      </c>
      <c r="F181" s="53">
        <v>0.70099999999999996</v>
      </c>
      <c r="G181" s="53">
        <v>0.61780000000000002</v>
      </c>
      <c r="H181" s="53">
        <v>1.0847</v>
      </c>
      <c r="I181" s="67" t="str">
        <f t="shared" si="5"/>
        <v>5.0All West AfricaTERRACLIMATE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88888"/>
  </sheetPr>
  <dimension ref="A1:E2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0" customWidth="1"/>
    <col min="5" max="5" width="35" customWidth="1"/>
  </cols>
  <sheetData>
    <row r="1" spans="1:5" x14ac:dyDescent="0.35">
      <c r="A1" s="12" t="s">
        <v>127</v>
      </c>
      <c r="B1" s="12" t="s">
        <v>126</v>
      </c>
      <c r="C1" s="12" t="s">
        <v>104</v>
      </c>
      <c r="D1" s="12" t="s">
        <v>128</v>
      </c>
      <c r="E1" s="12" t="s">
        <v>129</v>
      </c>
    </row>
    <row r="2" spans="1:5" x14ac:dyDescent="0.35">
      <c r="A2" s="47" t="s">
        <v>45</v>
      </c>
      <c r="B2" s="47" t="s">
        <v>75</v>
      </c>
      <c r="C2" s="47" t="s">
        <v>4</v>
      </c>
      <c r="D2" s="49">
        <v>0.91220000000000001</v>
      </c>
      <c r="E2" s="48" t="s">
        <v>130</v>
      </c>
    </row>
    <row r="3" spans="1:5" x14ac:dyDescent="0.35">
      <c r="A3" s="51" t="s">
        <v>45</v>
      </c>
      <c r="B3" s="51" t="s">
        <v>75</v>
      </c>
      <c r="C3" s="51" t="s">
        <v>60</v>
      </c>
      <c r="D3" s="53">
        <v>0.88160000000000005</v>
      </c>
      <c r="E3" s="52" t="s">
        <v>131</v>
      </c>
    </row>
    <row r="4" spans="1:5" x14ac:dyDescent="0.35">
      <c r="A4" s="47" t="s">
        <v>45</v>
      </c>
      <c r="B4" s="47" t="s">
        <v>75</v>
      </c>
      <c r="C4" s="47" t="s">
        <v>61</v>
      </c>
      <c r="D4" s="49">
        <v>0.93</v>
      </c>
      <c r="E4" s="48" t="s">
        <v>132</v>
      </c>
    </row>
    <row r="5" spans="1:5" x14ac:dyDescent="0.35">
      <c r="A5" s="51" t="s">
        <v>45</v>
      </c>
      <c r="B5" s="51" t="s">
        <v>75</v>
      </c>
      <c r="C5" s="51" t="s">
        <v>62</v>
      </c>
      <c r="D5" s="53">
        <v>0.86890000000000001</v>
      </c>
      <c r="E5" s="52" t="s">
        <v>133</v>
      </c>
    </row>
    <row r="6" spans="1:5" x14ac:dyDescent="0.35">
      <c r="A6" s="47" t="s">
        <v>45</v>
      </c>
      <c r="B6" s="47" t="s">
        <v>75</v>
      </c>
      <c r="C6" s="47" t="s">
        <v>63</v>
      </c>
      <c r="D6" s="49">
        <v>0.89780000000000004</v>
      </c>
      <c r="E6" s="48" t="s">
        <v>134</v>
      </c>
    </row>
    <row r="7" spans="1:5" x14ac:dyDescent="0.35">
      <c r="A7" s="51" t="s">
        <v>45</v>
      </c>
      <c r="B7" s="51" t="s">
        <v>75</v>
      </c>
      <c r="C7" s="51" t="s">
        <v>64</v>
      </c>
      <c r="D7" s="53">
        <v>0.86499999999999999</v>
      </c>
      <c r="E7" s="52" t="s">
        <v>135</v>
      </c>
    </row>
    <row r="8" spans="1:5" x14ac:dyDescent="0.35">
      <c r="A8" s="47" t="s">
        <v>45</v>
      </c>
      <c r="B8" s="47" t="s">
        <v>71</v>
      </c>
      <c r="C8" s="47" t="s">
        <v>4</v>
      </c>
      <c r="D8" s="49">
        <v>0.88700000000000001</v>
      </c>
      <c r="E8" s="48" t="s">
        <v>136</v>
      </c>
    </row>
    <row r="9" spans="1:5" x14ac:dyDescent="0.35">
      <c r="A9" s="51" t="s">
        <v>45</v>
      </c>
      <c r="B9" s="51" t="s">
        <v>71</v>
      </c>
      <c r="C9" s="51" t="s">
        <v>60</v>
      </c>
      <c r="D9" s="53">
        <v>0.85</v>
      </c>
      <c r="E9" s="52" t="s">
        <v>137</v>
      </c>
    </row>
    <row r="10" spans="1:5" x14ac:dyDescent="0.35">
      <c r="A10" s="47" t="s">
        <v>45</v>
      </c>
      <c r="B10" s="47" t="s">
        <v>71</v>
      </c>
      <c r="C10" s="47" t="s">
        <v>61</v>
      </c>
      <c r="D10" s="49">
        <v>0.89480000000000004</v>
      </c>
      <c r="E10" s="48" t="s">
        <v>138</v>
      </c>
    </row>
    <row r="11" spans="1:5" x14ac:dyDescent="0.35">
      <c r="A11" s="51" t="s">
        <v>45</v>
      </c>
      <c r="B11" s="51" t="s">
        <v>71</v>
      </c>
      <c r="C11" s="51" t="s">
        <v>62</v>
      </c>
      <c r="D11" s="53">
        <v>0.82140000000000002</v>
      </c>
      <c r="E11" s="52" t="s">
        <v>139</v>
      </c>
    </row>
    <row r="12" spans="1:5" x14ac:dyDescent="0.35">
      <c r="A12" s="47" t="s">
        <v>45</v>
      </c>
      <c r="B12" s="47" t="s">
        <v>71</v>
      </c>
      <c r="C12" s="47" t="s">
        <v>63</v>
      </c>
      <c r="D12" s="49">
        <v>0.88470000000000004</v>
      </c>
      <c r="E12" s="48" t="s">
        <v>140</v>
      </c>
    </row>
    <row r="13" spans="1:5" x14ac:dyDescent="0.35">
      <c r="A13" s="51" t="s">
        <v>45</v>
      </c>
      <c r="B13" s="51" t="s">
        <v>71</v>
      </c>
      <c r="C13" s="51" t="s">
        <v>64</v>
      </c>
      <c r="D13" s="53">
        <v>0.8286</v>
      </c>
      <c r="E13" s="52" t="s">
        <v>141</v>
      </c>
    </row>
    <row r="14" spans="1:5" x14ac:dyDescent="0.35">
      <c r="A14" s="47" t="s">
        <v>45</v>
      </c>
      <c r="B14" s="47" t="s">
        <v>73</v>
      </c>
      <c r="C14" s="47" t="s">
        <v>4</v>
      </c>
      <c r="D14" s="49">
        <v>0.90920000000000001</v>
      </c>
      <c r="E14" s="48" t="s">
        <v>142</v>
      </c>
    </row>
    <row r="15" spans="1:5" x14ac:dyDescent="0.35">
      <c r="A15" s="51" t="s">
        <v>45</v>
      </c>
      <c r="B15" s="51" t="s">
        <v>73</v>
      </c>
      <c r="C15" s="51" t="s">
        <v>60</v>
      </c>
      <c r="D15" s="53">
        <v>0.85650000000000004</v>
      </c>
      <c r="E15" s="52" t="s">
        <v>143</v>
      </c>
    </row>
    <row r="16" spans="1:5" x14ac:dyDescent="0.35">
      <c r="A16" s="47" t="s">
        <v>45</v>
      </c>
      <c r="B16" s="47" t="s">
        <v>73</v>
      </c>
      <c r="C16" s="47" t="s">
        <v>61</v>
      </c>
      <c r="D16" s="49">
        <v>0.94479999999999997</v>
      </c>
      <c r="E16" s="48" t="s">
        <v>144</v>
      </c>
    </row>
    <row r="17" spans="1:5" x14ac:dyDescent="0.35">
      <c r="A17" s="51" t="s">
        <v>45</v>
      </c>
      <c r="B17" s="51" t="s">
        <v>73</v>
      </c>
      <c r="C17" s="51" t="s">
        <v>62</v>
      </c>
      <c r="D17" s="53">
        <v>0.89459999999999995</v>
      </c>
      <c r="E17" s="52" t="s">
        <v>145</v>
      </c>
    </row>
    <row r="18" spans="1:5" x14ac:dyDescent="0.35">
      <c r="A18" s="47" t="s">
        <v>45</v>
      </c>
      <c r="B18" s="47" t="s">
        <v>73</v>
      </c>
      <c r="C18" s="47" t="s">
        <v>63</v>
      </c>
      <c r="D18" s="49">
        <v>0.89980000000000004</v>
      </c>
      <c r="E18" s="48" t="s">
        <v>146</v>
      </c>
    </row>
    <row r="19" spans="1:5" x14ac:dyDescent="0.35">
      <c r="A19" s="51" t="s">
        <v>45</v>
      </c>
      <c r="B19" s="51" t="s">
        <v>73</v>
      </c>
      <c r="C19" s="51" t="s">
        <v>64</v>
      </c>
      <c r="D19" s="53">
        <v>0.88200000000000001</v>
      </c>
      <c r="E19" s="52" t="s">
        <v>147</v>
      </c>
    </row>
    <row r="20" spans="1:5" x14ac:dyDescent="0.35">
      <c r="A20" s="47" t="s">
        <v>45</v>
      </c>
      <c r="B20" s="47" t="s">
        <v>66</v>
      </c>
      <c r="C20" s="47" t="s">
        <v>4</v>
      </c>
      <c r="D20" s="49">
        <v>0.75509999999999999</v>
      </c>
      <c r="E20" s="48" t="s">
        <v>148</v>
      </c>
    </row>
    <row r="21" spans="1:5" x14ac:dyDescent="0.35">
      <c r="A21" s="51" t="s">
        <v>45</v>
      </c>
      <c r="B21" s="51" t="s">
        <v>66</v>
      </c>
      <c r="C21" s="51" t="s">
        <v>60</v>
      </c>
      <c r="D21" s="53">
        <v>0.61</v>
      </c>
      <c r="E21" s="52" t="s">
        <v>149</v>
      </c>
    </row>
    <row r="22" spans="1:5" x14ac:dyDescent="0.35">
      <c r="A22" s="47" t="s">
        <v>45</v>
      </c>
      <c r="B22" s="47" t="s">
        <v>66</v>
      </c>
      <c r="C22" s="47" t="s">
        <v>61</v>
      </c>
      <c r="D22" s="49">
        <v>0.85309999999999997</v>
      </c>
      <c r="E22" s="48" t="s">
        <v>150</v>
      </c>
    </row>
    <row r="23" spans="1:5" x14ac:dyDescent="0.35">
      <c r="A23" s="51" t="s">
        <v>45</v>
      </c>
      <c r="B23" s="51" t="s">
        <v>66</v>
      </c>
      <c r="C23" s="51" t="s">
        <v>62</v>
      </c>
      <c r="D23" s="53">
        <v>0.64829999999999999</v>
      </c>
      <c r="E23" s="52" t="s">
        <v>151</v>
      </c>
    </row>
    <row r="24" spans="1:5" x14ac:dyDescent="0.35">
      <c r="A24" s="47" t="s">
        <v>45</v>
      </c>
      <c r="B24" s="47" t="s">
        <v>66</v>
      </c>
      <c r="C24" s="47" t="s">
        <v>63</v>
      </c>
      <c r="D24" s="49">
        <v>0.82750000000000001</v>
      </c>
      <c r="E24" s="48" t="s">
        <v>152</v>
      </c>
    </row>
    <row r="25" spans="1:5" x14ac:dyDescent="0.35">
      <c r="A25" s="51" t="s">
        <v>45</v>
      </c>
      <c r="B25" s="51" t="s">
        <v>66</v>
      </c>
      <c r="C25" s="51" t="s">
        <v>64</v>
      </c>
      <c r="D25" s="53">
        <v>0.71540000000000004</v>
      </c>
      <c r="E25" s="52" t="s">
        <v>153</v>
      </c>
    </row>
    <row r="26" spans="1:5" x14ac:dyDescent="0.35">
      <c r="A26" s="47" t="s">
        <v>45</v>
      </c>
      <c r="B26" s="47" t="s">
        <v>3</v>
      </c>
      <c r="C26" s="47" t="s">
        <v>4</v>
      </c>
      <c r="D26" s="49">
        <v>0.93479999999999996</v>
      </c>
      <c r="E26" s="48" t="s">
        <v>154</v>
      </c>
    </row>
    <row r="27" spans="1:5" x14ac:dyDescent="0.35">
      <c r="A27" s="51" t="s">
        <v>45</v>
      </c>
      <c r="B27" s="51" t="s">
        <v>3</v>
      </c>
      <c r="C27" s="51" t="s">
        <v>60</v>
      </c>
      <c r="D27" s="53">
        <v>0.86150000000000004</v>
      </c>
      <c r="E27" s="52" t="s">
        <v>155</v>
      </c>
    </row>
    <row r="28" spans="1:5" x14ac:dyDescent="0.35">
      <c r="A28" s="47" t="s">
        <v>45</v>
      </c>
      <c r="B28" s="47" t="s">
        <v>3</v>
      </c>
      <c r="C28" s="47" t="s">
        <v>61</v>
      </c>
      <c r="D28" s="49">
        <v>0.9556</v>
      </c>
      <c r="E28" s="48" t="s">
        <v>156</v>
      </c>
    </row>
    <row r="29" spans="1:5" x14ac:dyDescent="0.35">
      <c r="A29" s="51" t="s">
        <v>45</v>
      </c>
      <c r="B29" s="51" t="s">
        <v>3</v>
      </c>
      <c r="C29" s="51" t="s">
        <v>62</v>
      </c>
      <c r="D29" s="53">
        <v>0.90700000000000003</v>
      </c>
      <c r="E29" s="52" t="s">
        <v>157</v>
      </c>
    </row>
    <row r="30" spans="1:5" x14ac:dyDescent="0.35">
      <c r="A30" s="47" t="s">
        <v>45</v>
      </c>
      <c r="B30" s="47" t="s">
        <v>3</v>
      </c>
      <c r="C30" s="47" t="s">
        <v>63</v>
      </c>
      <c r="D30" s="49">
        <v>0.92449999999999999</v>
      </c>
      <c r="E30" s="48" t="s">
        <v>158</v>
      </c>
    </row>
    <row r="31" spans="1:5" x14ac:dyDescent="0.35">
      <c r="A31" s="51" t="s">
        <v>45</v>
      </c>
      <c r="B31" s="51" t="s">
        <v>3</v>
      </c>
      <c r="C31" s="51" t="s">
        <v>64</v>
      </c>
      <c r="D31" s="53">
        <v>0.93340000000000001</v>
      </c>
      <c r="E31" s="52" t="s">
        <v>159</v>
      </c>
    </row>
    <row r="32" spans="1:5" x14ac:dyDescent="0.35">
      <c r="A32" s="47" t="s">
        <v>45</v>
      </c>
      <c r="B32" s="47" t="s">
        <v>69</v>
      </c>
      <c r="C32" s="47" t="s">
        <v>4</v>
      </c>
      <c r="D32" s="49">
        <v>0.91439999999999999</v>
      </c>
      <c r="E32" s="48" t="s">
        <v>160</v>
      </c>
    </row>
    <row r="33" spans="1:5" x14ac:dyDescent="0.35">
      <c r="A33" s="51" t="s">
        <v>45</v>
      </c>
      <c r="B33" s="51" t="s">
        <v>69</v>
      </c>
      <c r="C33" s="51" t="s">
        <v>60</v>
      </c>
      <c r="D33" s="53">
        <v>0.9032</v>
      </c>
      <c r="E33" s="52" t="s">
        <v>161</v>
      </c>
    </row>
    <row r="34" spans="1:5" x14ac:dyDescent="0.35">
      <c r="A34" s="47" t="s">
        <v>45</v>
      </c>
      <c r="B34" s="47" t="s">
        <v>69</v>
      </c>
      <c r="C34" s="47" t="s">
        <v>61</v>
      </c>
      <c r="D34" s="49">
        <v>0.91859999999999997</v>
      </c>
      <c r="E34" s="48" t="s">
        <v>162</v>
      </c>
    </row>
    <row r="35" spans="1:5" x14ac:dyDescent="0.35">
      <c r="A35" s="51" t="s">
        <v>45</v>
      </c>
      <c r="B35" s="51" t="s">
        <v>69</v>
      </c>
      <c r="C35" s="51" t="s">
        <v>62</v>
      </c>
      <c r="D35" s="53">
        <v>0.88439999999999996</v>
      </c>
      <c r="E35" s="52" t="s">
        <v>163</v>
      </c>
    </row>
    <row r="36" spans="1:5" x14ac:dyDescent="0.35">
      <c r="A36" s="47" t="s">
        <v>45</v>
      </c>
      <c r="B36" s="47" t="s">
        <v>69</v>
      </c>
      <c r="C36" s="47" t="s">
        <v>63</v>
      </c>
      <c r="D36" s="49">
        <v>0.88600000000000001</v>
      </c>
      <c r="E36" s="48" t="s">
        <v>164</v>
      </c>
    </row>
    <row r="37" spans="1:5" x14ac:dyDescent="0.35">
      <c r="A37" s="51" t="s">
        <v>45</v>
      </c>
      <c r="B37" s="51" t="s">
        <v>69</v>
      </c>
      <c r="C37" s="51" t="s">
        <v>64</v>
      </c>
      <c r="D37" s="53">
        <v>0.85850000000000004</v>
      </c>
      <c r="E37" s="52" t="s">
        <v>165</v>
      </c>
    </row>
    <row r="38" spans="1:5" x14ac:dyDescent="0.35">
      <c r="A38" s="47" t="s">
        <v>166</v>
      </c>
      <c r="B38" s="47" t="s">
        <v>75</v>
      </c>
      <c r="C38" s="47" t="s">
        <v>4</v>
      </c>
      <c r="D38" s="49">
        <v>0.92369999999999997</v>
      </c>
      <c r="E38" s="48" t="s">
        <v>167</v>
      </c>
    </row>
    <row r="39" spans="1:5" x14ac:dyDescent="0.35">
      <c r="A39" s="51" t="s">
        <v>166</v>
      </c>
      <c r="B39" s="51" t="s">
        <v>75</v>
      </c>
      <c r="C39" s="51" t="s">
        <v>60</v>
      </c>
      <c r="D39" s="53">
        <v>0.89680000000000004</v>
      </c>
      <c r="E39" s="52" t="s">
        <v>168</v>
      </c>
    </row>
    <row r="40" spans="1:5" x14ac:dyDescent="0.35">
      <c r="A40" s="47" t="s">
        <v>166</v>
      </c>
      <c r="B40" s="47" t="s">
        <v>75</v>
      </c>
      <c r="C40" s="47" t="s">
        <v>61</v>
      </c>
      <c r="D40" s="49">
        <v>0.94169999999999998</v>
      </c>
      <c r="E40" s="48" t="s">
        <v>169</v>
      </c>
    </row>
    <row r="41" spans="1:5" x14ac:dyDescent="0.35">
      <c r="A41" s="51" t="s">
        <v>166</v>
      </c>
      <c r="B41" s="51" t="s">
        <v>75</v>
      </c>
      <c r="C41" s="51" t="s">
        <v>62</v>
      </c>
      <c r="D41" s="53">
        <v>0.86509999999999998</v>
      </c>
      <c r="E41" s="52" t="s">
        <v>170</v>
      </c>
    </row>
    <row r="42" spans="1:5" x14ac:dyDescent="0.35">
      <c r="A42" s="47" t="s">
        <v>166</v>
      </c>
      <c r="B42" s="47" t="s">
        <v>75</v>
      </c>
      <c r="C42" s="47" t="s">
        <v>63</v>
      </c>
      <c r="D42" s="49">
        <v>0.89890000000000003</v>
      </c>
      <c r="E42" s="48" t="s">
        <v>171</v>
      </c>
    </row>
    <row r="43" spans="1:5" x14ac:dyDescent="0.35">
      <c r="A43" s="51" t="s">
        <v>166</v>
      </c>
      <c r="B43" s="51" t="s">
        <v>75</v>
      </c>
      <c r="C43" s="51" t="s">
        <v>64</v>
      </c>
      <c r="D43" s="53">
        <v>0.85270000000000001</v>
      </c>
      <c r="E43" s="52" t="s">
        <v>172</v>
      </c>
    </row>
    <row r="44" spans="1:5" x14ac:dyDescent="0.35">
      <c r="A44" s="47" t="s">
        <v>166</v>
      </c>
      <c r="B44" s="47" t="s">
        <v>71</v>
      </c>
      <c r="C44" s="47" t="s">
        <v>4</v>
      </c>
      <c r="D44" s="49">
        <v>0.89059999999999995</v>
      </c>
      <c r="E44" s="48" t="s">
        <v>173</v>
      </c>
    </row>
    <row r="45" spans="1:5" x14ac:dyDescent="0.35">
      <c r="A45" s="51" t="s">
        <v>166</v>
      </c>
      <c r="B45" s="51" t="s">
        <v>71</v>
      </c>
      <c r="C45" s="51" t="s">
        <v>60</v>
      </c>
      <c r="D45" s="53">
        <v>0.85929999999999995</v>
      </c>
      <c r="E45" s="52" t="s">
        <v>174</v>
      </c>
    </row>
    <row r="46" spans="1:5" x14ac:dyDescent="0.35">
      <c r="A46" s="47" t="s">
        <v>166</v>
      </c>
      <c r="B46" s="47" t="s">
        <v>71</v>
      </c>
      <c r="C46" s="47" t="s">
        <v>61</v>
      </c>
      <c r="D46" s="49">
        <v>0.90759999999999996</v>
      </c>
      <c r="E46" s="48" t="s">
        <v>175</v>
      </c>
    </row>
    <row r="47" spans="1:5" x14ac:dyDescent="0.35">
      <c r="A47" s="51" t="s">
        <v>166</v>
      </c>
      <c r="B47" s="51" t="s">
        <v>71</v>
      </c>
      <c r="C47" s="51" t="s">
        <v>62</v>
      </c>
      <c r="D47" s="53">
        <v>0.79310000000000003</v>
      </c>
      <c r="E47" s="52" t="s">
        <v>176</v>
      </c>
    </row>
    <row r="48" spans="1:5" x14ac:dyDescent="0.35">
      <c r="A48" s="47" t="s">
        <v>166</v>
      </c>
      <c r="B48" s="47" t="s">
        <v>71</v>
      </c>
      <c r="C48" s="47" t="s">
        <v>63</v>
      </c>
      <c r="D48" s="49">
        <v>0.87150000000000005</v>
      </c>
      <c r="E48" s="48" t="s">
        <v>177</v>
      </c>
    </row>
    <row r="49" spans="1:5" x14ac:dyDescent="0.35">
      <c r="A49" s="51" t="s">
        <v>166</v>
      </c>
      <c r="B49" s="51" t="s">
        <v>71</v>
      </c>
      <c r="C49" s="51" t="s">
        <v>64</v>
      </c>
      <c r="D49" s="53">
        <v>0.81</v>
      </c>
      <c r="E49" s="52" t="s">
        <v>178</v>
      </c>
    </row>
    <row r="50" spans="1:5" x14ac:dyDescent="0.35">
      <c r="A50" s="47" t="s">
        <v>166</v>
      </c>
      <c r="B50" s="47" t="s">
        <v>73</v>
      </c>
      <c r="C50" s="47" t="s">
        <v>4</v>
      </c>
      <c r="D50" s="49">
        <v>0.91839999999999999</v>
      </c>
      <c r="E50" s="48" t="s">
        <v>179</v>
      </c>
    </row>
    <row r="51" spans="1:5" x14ac:dyDescent="0.35">
      <c r="A51" s="51" t="s">
        <v>166</v>
      </c>
      <c r="B51" s="51" t="s">
        <v>73</v>
      </c>
      <c r="C51" s="51" t="s">
        <v>60</v>
      </c>
      <c r="D51" s="53">
        <v>0.86480000000000001</v>
      </c>
      <c r="E51" s="52" t="s">
        <v>180</v>
      </c>
    </row>
    <row r="52" spans="1:5" x14ac:dyDescent="0.35">
      <c r="A52" s="47" t="s">
        <v>166</v>
      </c>
      <c r="B52" s="47" t="s">
        <v>73</v>
      </c>
      <c r="C52" s="47" t="s">
        <v>61</v>
      </c>
      <c r="D52" s="49">
        <v>0.95069999999999999</v>
      </c>
      <c r="E52" s="48" t="s">
        <v>181</v>
      </c>
    </row>
    <row r="53" spans="1:5" x14ac:dyDescent="0.35">
      <c r="A53" s="51" t="s">
        <v>166</v>
      </c>
      <c r="B53" s="51" t="s">
        <v>73</v>
      </c>
      <c r="C53" s="51" t="s">
        <v>62</v>
      </c>
      <c r="D53" s="53">
        <v>0.89939999999999998</v>
      </c>
      <c r="E53" s="52" t="s">
        <v>182</v>
      </c>
    </row>
    <row r="54" spans="1:5" x14ac:dyDescent="0.35">
      <c r="A54" s="47" t="s">
        <v>166</v>
      </c>
      <c r="B54" s="47" t="s">
        <v>73</v>
      </c>
      <c r="C54" s="47" t="s">
        <v>63</v>
      </c>
      <c r="D54" s="49">
        <v>0.90880000000000005</v>
      </c>
      <c r="E54" s="48" t="s">
        <v>183</v>
      </c>
    </row>
    <row r="55" spans="1:5" x14ac:dyDescent="0.35">
      <c r="A55" s="51" t="s">
        <v>166</v>
      </c>
      <c r="B55" s="51" t="s">
        <v>73</v>
      </c>
      <c r="C55" s="51" t="s">
        <v>64</v>
      </c>
      <c r="D55" s="53">
        <v>0.88290000000000002</v>
      </c>
      <c r="E55" s="52" t="s">
        <v>184</v>
      </c>
    </row>
    <row r="56" spans="1:5" x14ac:dyDescent="0.35">
      <c r="A56" s="47" t="s">
        <v>166</v>
      </c>
      <c r="B56" s="47" t="s">
        <v>66</v>
      </c>
      <c r="C56" s="47" t="s">
        <v>4</v>
      </c>
      <c r="D56" s="49">
        <v>0.81899999999999995</v>
      </c>
      <c r="E56" s="48" t="s">
        <v>185</v>
      </c>
    </row>
    <row r="57" spans="1:5" x14ac:dyDescent="0.35">
      <c r="A57" s="51" t="s">
        <v>166</v>
      </c>
      <c r="B57" s="51" t="s">
        <v>66</v>
      </c>
      <c r="C57" s="51" t="s">
        <v>60</v>
      </c>
      <c r="D57" s="53">
        <v>0.59909999999999997</v>
      </c>
      <c r="E57" s="52" t="s">
        <v>186</v>
      </c>
    </row>
    <row r="58" spans="1:5" x14ac:dyDescent="0.35">
      <c r="A58" s="47" t="s">
        <v>166</v>
      </c>
      <c r="B58" s="47" t="s">
        <v>66</v>
      </c>
      <c r="C58" s="47" t="s">
        <v>61</v>
      </c>
      <c r="D58" s="49">
        <v>0.86329999999999996</v>
      </c>
      <c r="E58" s="48" t="s">
        <v>187</v>
      </c>
    </row>
    <row r="59" spans="1:5" x14ac:dyDescent="0.35">
      <c r="A59" s="51" t="s">
        <v>166</v>
      </c>
      <c r="B59" s="51" t="s">
        <v>66</v>
      </c>
      <c r="C59" s="51" t="s">
        <v>62</v>
      </c>
      <c r="D59" s="53">
        <v>0.67210000000000003</v>
      </c>
      <c r="E59" s="52" t="s">
        <v>188</v>
      </c>
    </row>
    <row r="60" spans="1:5" x14ac:dyDescent="0.35">
      <c r="A60" s="47" t="s">
        <v>166</v>
      </c>
      <c r="B60" s="47" t="s">
        <v>66</v>
      </c>
      <c r="C60" s="47" t="s">
        <v>63</v>
      </c>
      <c r="D60" s="49">
        <v>0.85919999999999996</v>
      </c>
      <c r="E60" s="48" t="s">
        <v>189</v>
      </c>
    </row>
    <row r="61" spans="1:5" x14ac:dyDescent="0.35">
      <c r="A61" s="51" t="s">
        <v>166</v>
      </c>
      <c r="B61" s="51" t="s">
        <v>66</v>
      </c>
      <c r="C61" s="51" t="s">
        <v>64</v>
      </c>
      <c r="D61" s="53">
        <v>0.78849999999999998</v>
      </c>
      <c r="E61" s="52" t="s">
        <v>190</v>
      </c>
    </row>
    <row r="62" spans="1:5" x14ac:dyDescent="0.35">
      <c r="A62" s="47" t="s">
        <v>166</v>
      </c>
      <c r="B62" s="47" t="s">
        <v>3</v>
      </c>
      <c r="C62" s="47" t="s">
        <v>4</v>
      </c>
      <c r="D62" s="49">
        <v>0.93759999999999999</v>
      </c>
      <c r="E62" s="48" t="s">
        <v>191</v>
      </c>
    </row>
    <row r="63" spans="1:5" x14ac:dyDescent="0.35">
      <c r="A63" s="51" t="s">
        <v>166</v>
      </c>
      <c r="B63" s="51" t="s">
        <v>3</v>
      </c>
      <c r="C63" s="51" t="s">
        <v>60</v>
      </c>
      <c r="D63" s="53">
        <v>0.84830000000000005</v>
      </c>
      <c r="E63" s="52" t="s">
        <v>192</v>
      </c>
    </row>
    <row r="64" spans="1:5" x14ac:dyDescent="0.35">
      <c r="A64" s="47" t="s">
        <v>166</v>
      </c>
      <c r="B64" s="47" t="s">
        <v>3</v>
      </c>
      <c r="C64" s="47" t="s">
        <v>61</v>
      </c>
      <c r="D64" s="49">
        <v>0.96679999999999999</v>
      </c>
      <c r="E64" s="48" t="s">
        <v>193</v>
      </c>
    </row>
    <row r="65" spans="1:5" x14ac:dyDescent="0.35">
      <c r="A65" s="51" t="s">
        <v>166</v>
      </c>
      <c r="B65" s="51" t="s">
        <v>3</v>
      </c>
      <c r="C65" s="51" t="s">
        <v>62</v>
      </c>
      <c r="D65" s="53">
        <v>0.92049999999999998</v>
      </c>
      <c r="E65" s="52" t="s">
        <v>194</v>
      </c>
    </row>
    <row r="66" spans="1:5" x14ac:dyDescent="0.35">
      <c r="A66" s="47" t="s">
        <v>166</v>
      </c>
      <c r="B66" s="47" t="s">
        <v>3</v>
      </c>
      <c r="C66" s="47" t="s">
        <v>63</v>
      </c>
      <c r="D66" s="49">
        <v>0.93879999999999997</v>
      </c>
      <c r="E66" s="48" t="s">
        <v>195</v>
      </c>
    </row>
    <row r="67" spans="1:5" x14ac:dyDescent="0.35">
      <c r="A67" s="51" t="s">
        <v>166</v>
      </c>
      <c r="B67" s="51" t="s">
        <v>3</v>
      </c>
      <c r="C67" s="51" t="s">
        <v>64</v>
      </c>
      <c r="D67" s="53">
        <v>0.94920000000000004</v>
      </c>
      <c r="E67" s="52" t="s">
        <v>196</v>
      </c>
    </row>
    <row r="68" spans="1:5" x14ac:dyDescent="0.35">
      <c r="A68" s="47" t="s">
        <v>166</v>
      </c>
      <c r="B68" s="47" t="s">
        <v>69</v>
      </c>
      <c r="C68" s="47" t="s">
        <v>4</v>
      </c>
      <c r="D68" s="49">
        <v>0.93059999999999998</v>
      </c>
      <c r="E68" s="48" t="s">
        <v>197</v>
      </c>
    </row>
    <row r="69" spans="1:5" x14ac:dyDescent="0.35">
      <c r="A69" s="51" t="s">
        <v>166</v>
      </c>
      <c r="B69" s="51" t="s">
        <v>69</v>
      </c>
      <c r="C69" s="51" t="s">
        <v>60</v>
      </c>
      <c r="D69" s="53">
        <v>0.91239999999999999</v>
      </c>
      <c r="E69" s="52" t="s">
        <v>198</v>
      </c>
    </row>
    <row r="70" spans="1:5" x14ac:dyDescent="0.35">
      <c r="A70" s="47" t="s">
        <v>166</v>
      </c>
      <c r="B70" s="47" t="s">
        <v>69</v>
      </c>
      <c r="C70" s="47" t="s">
        <v>61</v>
      </c>
      <c r="D70" s="49">
        <v>0.93879999999999997</v>
      </c>
      <c r="E70" s="48" t="s">
        <v>199</v>
      </c>
    </row>
    <row r="71" spans="1:5" x14ac:dyDescent="0.35">
      <c r="A71" s="51" t="s">
        <v>166</v>
      </c>
      <c r="B71" s="51" t="s">
        <v>69</v>
      </c>
      <c r="C71" s="51" t="s">
        <v>62</v>
      </c>
      <c r="D71" s="53">
        <v>0.87849999999999995</v>
      </c>
      <c r="E71" s="52" t="s">
        <v>200</v>
      </c>
    </row>
    <row r="72" spans="1:5" x14ac:dyDescent="0.35">
      <c r="A72" s="47" t="s">
        <v>166</v>
      </c>
      <c r="B72" s="47" t="s">
        <v>69</v>
      </c>
      <c r="C72" s="47" t="s">
        <v>63</v>
      </c>
      <c r="D72" s="49">
        <v>0.88759999999999994</v>
      </c>
      <c r="E72" s="48" t="s">
        <v>201</v>
      </c>
    </row>
    <row r="73" spans="1:5" x14ac:dyDescent="0.35">
      <c r="A73" s="51" t="s">
        <v>166</v>
      </c>
      <c r="B73" s="51" t="s">
        <v>69</v>
      </c>
      <c r="C73" s="51" t="s">
        <v>64</v>
      </c>
      <c r="D73" s="53">
        <v>0.83089999999999997</v>
      </c>
      <c r="E73" s="52" t="s">
        <v>202</v>
      </c>
    </row>
    <row r="74" spans="1:5" x14ac:dyDescent="0.35">
      <c r="A74" s="47" t="s">
        <v>203</v>
      </c>
      <c r="B74" s="47" t="s">
        <v>75</v>
      </c>
      <c r="C74" s="47" t="s">
        <v>4</v>
      </c>
      <c r="D74" s="49">
        <v>0.92730000000000001</v>
      </c>
      <c r="E74" s="48" t="s">
        <v>204</v>
      </c>
    </row>
    <row r="75" spans="1:5" x14ac:dyDescent="0.35">
      <c r="A75" s="51" t="s">
        <v>203</v>
      </c>
      <c r="B75" s="51" t="s">
        <v>75</v>
      </c>
      <c r="C75" s="51" t="s">
        <v>60</v>
      </c>
      <c r="D75" s="53">
        <v>0.89970000000000006</v>
      </c>
      <c r="E75" s="52" t="s">
        <v>205</v>
      </c>
    </row>
    <row r="76" spans="1:5" x14ac:dyDescent="0.35">
      <c r="A76" s="47" t="s">
        <v>203</v>
      </c>
      <c r="B76" s="47" t="s">
        <v>75</v>
      </c>
      <c r="C76" s="47" t="s">
        <v>61</v>
      </c>
      <c r="D76" s="49">
        <v>0.94310000000000005</v>
      </c>
      <c r="E76" s="48" t="s">
        <v>206</v>
      </c>
    </row>
    <row r="77" spans="1:5" x14ac:dyDescent="0.35">
      <c r="A77" s="51" t="s">
        <v>203</v>
      </c>
      <c r="B77" s="51" t="s">
        <v>75</v>
      </c>
      <c r="C77" s="51" t="s">
        <v>62</v>
      </c>
      <c r="D77" s="53">
        <v>0.88790000000000002</v>
      </c>
      <c r="E77" s="52" t="s">
        <v>207</v>
      </c>
    </row>
    <row r="78" spans="1:5" x14ac:dyDescent="0.35">
      <c r="A78" s="47" t="s">
        <v>203</v>
      </c>
      <c r="B78" s="47" t="s">
        <v>75</v>
      </c>
      <c r="C78" s="47" t="s">
        <v>63</v>
      </c>
      <c r="D78" s="49">
        <v>0.91190000000000004</v>
      </c>
      <c r="E78" s="48" t="s">
        <v>208</v>
      </c>
    </row>
    <row r="79" spans="1:5" x14ac:dyDescent="0.35">
      <c r="A79" s="51" t="s">
        <v>203</v>
      </c>
      <c r="B79" s="51" t="s">
        <v>75</v>
      </c>
      <c r="C79" s="51" t="s">
        <v>64</v>
      </c>
      <c r="D79" s="53">
        <v>0.87670000000000003</v>
      </c>
      <c r="E79" s="52" t="s">
        <v>209</v>
      </c>
    </row>
    <row r="80" spans="1:5" x14ac:dyDescent="0.35">
      <c r="A80" s="47" t="s">
        <v>203</v>
      </c>
      <c r="B80" s="47" t="s">
        <v>71</v>
      </c>
      <c r="C80" s="47" t="s">
        <v>4</v>
      </c>
      <c r="D80" s="49">
        <v>0.90710000000000002</v>
      </c>
      <c r="E80" s="48" t="s">
        <v>210</v>
      </c>
    </row>
    <row r="81" spans="1:5" x14ac:dyDescent="0.35">
      <c r="A81" s="51" t="s">
        <v>203</v>
      </c>
      <c r="B81" s="51" t="s">
        <v>71</v>
      </c>
      <c r="C81" s="51" t="s">
        <v>60</v>
      </c>
      <c r="D81" s="53">
        <v>0.87919999999999998</v>
      </c>
      <c r="E81" s="52" t="s">
        <v>211</v>
      </c>
    </row>
    <row r="82" spans="1:5" x14ac:dyDescent="0.35">
      <c r="A82" s="47" t="s">
        <v>203</v>
      </c>
      <c r="B82" s="47" t="s">
        <v>71</v>
      </c>
      <c r="C82" s="47" t="s">
        <v>61</v>
      </c>
      <c r="D82" s="49">
        <v>0.91520000000000001</v>
      </c>
      <c r="E82" s="48" t="s">
        <v>212</v>
      </c>
    </row>
    <row r="83" spans="1:5" x14ac:dyDescent="0.35">
      <c r="A83" s="51" t="s">
        <v>203</v>
      </c>
      <c r="B83" s="51" t="s">
        <v>71</v>
      </c>
      <c r="C83" s="51" t="s">
        <v>62</v>
      </c>
      <c r="D83" s="53">
        <v>0.83720000000000006</v>
      </c>
      <c r="E83" s="52" t="s">
        <v>213</v>
      </c>
    </row>
    <row r="84" spans="1:5" x14ac:dyDescent="0.35">
      <c r="A84" s="47" t="s">
        <v>203</v>
      </c>
      <c r="B84" s="47" t="s">
        <v>71</v>
      </c>
      <c r="C84" s="47" t="s">
        <v>63</v>
      </c>
      <c r="D84" s="49">
        <v>0.90010000000000001</v>
      </c>
      <c r="E84" s="48" t="s">
        <v>214</v>
      </c>
    </row>
    <row r="85" spans="1:5" x14ac:dyDescent="0.35">
      <c r="A85" s="51" t="s">
        <v>203</v>
      </c>
      <c r="B85" s="51" t="s">
        <v>71</v>
      </c>
      <c r="C85" s="51" t="s">
        <v>64</v>
      </c>
      <c r="D85" s="53">
        <v>0.85060000000000002</v>
      </c>
      <c r="E85" s="52" t="s">
        <v>215</v>
      </c>
    </row>
    <row r="86" spans="1:5" x14ac:dyDescent="0.35">
      <c r="A86" s="47" t="s">
        <v>203</v>
      </c>
      <c r="B86" s="47" t="s">
        <v>73</v>
      </c>
      <c r="C86" s="47" t="s">
        <v>4</v>
      </c>
      <c r="D86" s="49">
        <v>0.92500000000000004</v>
      </c>
      <c r="E86" s="48" t="s">
        <v>216</v>
      </c>
    </row>
    <row r="87" spans="1:5" x14ac:dyDescent="0.35">
      <c r="A87" s="51" t="s">
        <v>203</v>
      </c>
      <c r="B87" s="51" t="s">
        <v>73</v>
      </c>
      <c r="C87" s="51" t="s">
        <v>60</v>
      </c>
      <c r="D87" s="53">
        <v>0.88959999999999995</v>
      </c>
      <c r="E87" s="52" t="s">
        <v>217</v>
      </c>
    </row>
    <row r="88" spans="1:5" x14ac:dyDescent="0.35">
      <c r="A88" s="47" t="s">
        <v>203</v>
      </c>
      <c r="B88" s="47" t="s">
        <v>73</v>
      </c>
      <c r="C88" s="47" t="s">
        <v>61</v>
      </c>
      <c r="D88" s="49">
        <v>0.9536</v>
      </c>
      <c r="E88" s="48" t="s">
        <v>218</v>
      </c>
    </row>
    <row r="89" spans="1:5" x14ac:dyDescent="0.35">
      <c r="A89" s="51" t="s">
        <v>203</v>
      </c>
      <c r="B89" s="51" t="s">
        <v>73</v>
      </c>
      <c r="C89" s="51" t="s">
        <v>62</v>
      </c>
      <c r="D89" s="53">
        <v>0.91300000000000003</v>
      </c>
      <c r="E89" s="52" t="s">
        <v>219</v>
      </c>
    </row>
    <row r="90" spans="1:5" x14ac:dyDescent="0.35">
      <c r="A90" s="47" t="s">
        <v>203</v>
      </c>
      <c r="B90" s="47" t="s">
        <v>73</v>
      </c>
      <c r="C90" s="47" t="s">
        <v>63</v>
      </c>
      <c r="D90" s="49">
        <v>0.91800000000000004</v>
      </c>
      <c r="E90" s="48" t="s">
        <v>220</v>
      </c>
    </row>
    <row r="91" spans="1:5" x14ac:dyDescent="0.35">
      <c r="A91" s="51" t="s">
        <v>203</v>
      </c>
      <c r="B91" s="51" t="s">
        <v>73</v>
      </c>
      <c r="C91" s="51" t="s">
        <v>64</v>
      </c>
      <c r="D91" s="53">
        <v>0.89670000000000005</v>
      </c>
      <c r="E91" s="52" t="s">
        <v>221</v>
      </c>
    </row>
    <row r="92" spans="1:5" x14ac:dyDescent="0.35">
      <c r="A92" s="47" t="s">
        <v>203</v>
      </c>
      <c r="B92" s="47" t="s">
        <v>66</v>
      </c>
      <c r="C92" s="47" t="s">
        <v>4</v>
      </c>
      <c r="D92" s="49">
        <v>0.79369999999999996</v>
      </c>
      <c r="E92" s="48" t="s">
        <v>222</v>
      </c>
    </row>
    <row r="93" spans="1:5" x14ac:dyDescent="0.35">
      <c r="A93" s="51" t="s">
        <v>203</v>
      </c>
      <c r="B93" s="51" t="s">
        <v>66</v>
      </c>
      <c r="C93" s="51" t="s">
        <v>60</v>
      </c>
      <c r="D93" s="53">
        <v>0.55789999999999995</v>
      </c>
      <c r="E93" s="52" t="s">
        <v>223</v>
      </c>
    </row>
    <row r="94" spans="1:5" x14ac:dyDescent="0.35">
      <c r="A94" s="47" t="s">
        <v>203</v>
      </c>
      <c r="B94" s="47" t="s">
        <v>66</v>
      </c>
      <c r="C94" s="47" t="s">
        <v>61</v>
      </c>
      <c r="D94" s="49">
        <v>0.86529999999999996</v>
      </c>
      <c r="E94" s="48" t="s">
        <v>224</v>
      </c>
    </row>
    <row r="95" spans="1:5" x14ac:dyDescent="0.35">
      <c r="A95" s="51" t="s">
        <v>203</v>
      </c>
      <c r="B95" s="51" t="s">
        <v>66</v>
      </c>
      <c r="C95" s="51" t="s">
        <v>62</v>
      </c>
      <c r="D95" s="53">
        <v>0.6794</v>
      </c>
      <c r="E95" s="52" t="s">
        <v>225</v>
      </c>
    </row>
    <row r="96" spans="1:5" x14ac:dyDescent="0.35">
      <c r="A96" s="47" t="s">
        <v>203</v>
      </c>
      <c r="B96" s="47" t="s">
        <v>66</v>
      </c>
      <c r="C96" s="47" t="s">
        <v>63</v>
      </c>
      <c r="D96" s="49">
        <v>0.84309999999999996</v>
      </c>
      <c r="E96" s="48" t="s">
        <v>226</v>
      </c>
    </row>
    <row r="97" spans="1:5" x14ac:dyDescent="0.35">
      <c r="A97" s="51" t="s">
        <v>203</v>
      </c>
      <c r="B97" s="51" t="s">
        <v>66</v>
      </c>
      <c r="C97" s="51" t="s">
        <v>64</v>
      </c>
      <c r="D97" s="53">
        <v>0.73240000000000005</v>
      </c>
      <c r="E97" s="52" t="s">
        <v>227</v>
      </c>
    </row>
    <row r="98" spans="1:5" x14ac:dyDescent="0.35">
      <c r="A98" s="47" t="s">
        <v>203</v>
      </c>
      <c r="B98" s="47" t="s">
        <v>3</v>
      </c>
      <c r="C98" s="47" t="s">
        <v>4</v>
      </c>
      <c r="D98" s="49">
        <v>0.93520000000000003</v>
      </c>
      <c r="E98" s="48" t="s">
        <v>228</v>
      </c>
    </row>
    <row r="99" spans="1:5" x14ac:dyDescent="0.35">
      <c r="A99" s="51" t="s">
        <v>203</v>
      </c>
      <c r="B99" s="51" t="s">
        <v>3</v>
      </c>
      <c r="C99" s="51" t="s">
        <v>60</v>
      </c>
      <c r="D99" s="53">
        <v>0.84430000000000005</v>
      </c>
      <c r="E99" s="52" t="s">
        <v>229</v>
      </c>
    </row>
    <row r="100" spans="1:5" x14ac:dyDescent="0.35">
      <c r="A100" s="47" t="s">
        <v>203</v>
      </c>
      <c r="B100" s="47" t="s">
        <v>3</v>
      </c>
      <c r="C100" s="47" t="s">
        <v>61</v>
      </c>
      <c r="D100" s="49">
        <v>0.96399999999999997</v>
      </c>
      <c r="E100" s="48" t="s">
        <v>230</v>
      </c>
    </row>
    <row r="101" spans="1:5" x14ac:dyDescent="0.35">
      <c r="A101" s="51" t="s">
        <v>203</v>
      </c>
      <c r="B101" s="51" t="s">
        <v>3</v>
      </c>
      <c r="C101" s="51" t="s">
        <v>62</v>
      </c>
      <c r="D101" s="53">
        <v>0.91820000000000002</v>
      </c>
      <c r="E101" s="52" t="s">
        <v>231</v>
      </c>
    </row>
    <row r="102" spans="1:5" x14ac:dyDescent="0.35">
      <c r="A102" s="47" t="s">
        <v>203</v>
      </c>
      <c r="B102" s="47" t="s">
        <v>3</v>
      </c>
      <c r="C102" s="47" t="s">
        <v>63</v>
      </c>
      <c r="D102" s="49">
        <v>0.93469999999999998</v>
      </c>
      <c r="E102" s="48" t="s">
        <v>232</v>
      </c>
    </row>
    <row r="103" spans="1:5" x14ac:dyDescent="0.35">
      <c r="A103" s="51" t="s">
        <v>203</v>
      </c>
      <c r="B103" s="51" t="s">
        <v>3</v>
      </c>
      <c r="C103" s="51" t="s">
        <v>64</v>
      </c>
      <c r="D103" s="53">
        <v>0.94369999999999998</v>
      </c>
      <c r="E103" s="52" t="s">
        <v>233</v>
      </c>
    </row>
    <row r="104" spans="1:5" x14ac:dyDescent="0.35">
      <c r="A104" s="47" t="s">
        <v>203</v>
      </c>
      <c r="B104" s="47" t="s">
        <v>69</v>
      </c>
      <c r="C104" s="47" t="s">
        <v>4</v>
      </c>
      <c r="D104" s="49">
        <v>0.93300000000000005</v>
      </c>
      <c r="E104" s="48" t="s">
        <v>234</v>
      </c>
    </row>
    <row r="105" spans="1:5" x14ac:dyDescent="0.35">
      <c r="A105" s="51" t="s">
        <v>203</v>
      </c>
      <c r="B105" s="51" t="s">
        <v>69</v>
      </c>
      <c r="C105" s="51" t="s">
        <v>60</v>
      </c>
      <c r="D105" s="53">
        <v>0.91810000000000003</v>
      </c>
      <c r="E105" s="52" t="s">
        <v>235</v>
      </c>
    </row>
    <row r="106" spans="1:5" x14ac:dyDescent="0.35">
      <c r="A106" s="47" t="s">
        <v>203</v>
      </c>
      <c r="B106" s="47" t="s">
        <v>69</v>
      </c>
      <c r="C106" s="47" t="s">
        <v>61</v>
      </c>
      <c r="D106" s="49">
        <v>0.93679999999999997</v>
      </c>
      <c r="E106" s="48" t="s">
        <v>236</v>
      </c>
    </row>
    <row r="107" spans="1:5" x14ac:dyDescent="0.35">
      <c r="A107" s="51" t="s">
        <v>203</v>
      </c>
      <c r="B107" s="51" t="s">
        <v>69</v>
      </c>
      <c r="C107" s="51" t="s">
        <v>62</v>
      </c>
      <c r="D107" s="53">
        <v>0.89949999999999997</v>
      </c>
      <c r="E107" s="52" t="s">
        <v>237</v>
      </c>
    </row>
    <row r="108" spans="1:5" x14ac:dyDescent="0.35">
      <c r="A108" s="47" t="s">
        <v>203</v>
      </c>
      <c r="B108" s="47" t="s">
        <v>69</v>
      </c>
      <c r="C108" s="47" t="s">
        <v>63</v>
      </c>
      <c r="D108" s="49">
        <v>0.90149999999999997</v>
      </c>
      <c r="E108" s="48" t="s">
        <v>238</v>
      </c>
    </row>
    <row r="109" spans="1:5" x14ac:dyDescent="0.35">
      <c r="A109" s="51" t="s">
        <v>203</v>
      </c>
      <c r="B109" s="51" t="s">
        <v>69</v>
      </c>
      <c r="C109" s="51" t="s">
        <v>64</v>
      </c>
      <c r="D109" s="53">
        <v>0.86429999999999996</v>
      </c>
      <c r="E109" s="52" t="s">
        <v>239</v>
      </c>
    </row>
    <row r="110" spans="1:5" x14ac:dyDescent="0.35">
      <c r="A110" s="47" t="s">
        <v>240</v>
      </c>
      <c r="B110" s="47" t="s">
        <v>75</v>
      </c>
      <c r="C110" s="47" t="s">
        <v>4</v>
      </c>
      <c r="D110" s="49">
        <v>0.91439999999999999</v>
      </c>
      <c r="E110" s="48" t="s">
        <v>241</v>
      </c>
    </row>
    <row r="111" spans="1:5" x14ac:dyDescent="0.35">
      <c r="A111" s="51" t="s">
        <v>240</v>
      </c>
      <c r="B111" s="51" t="s">
        <v>75</v>
      </c>
      <c r="C111" s="51" t="s">
        <v>60</v>
      </c>
      <c r="D111" s="53">
        <v>0.89239999999999997</v>
      </c>
      <c r="E111" s="52" t="s">
        <v>242</v>
      </c>
    </row>
    <row r="112" spans="1:5" x14ac:dyDescent="0.35">
      <c r="A112" s="47" t="s">
        <v>240</v>
      </c>
      <c r="B112" s="47" t="s">
        <v>75</v>
      </c>
      <c r="C112" s="47" t="s">
        <v>61</v>
      </c>
      <c r="D112" s="49">
        <v>0.93610000000000004</v>
      </c>
      <c r="E112" s="48" t="s">
        <v>243</v>
      </c>
    </row>
    <row r="113" spans="1:5" x14ac:dyDescent="0.35">
      <c r="A113" s="51" t="s">
        <v>240</v>
      </c>
      <c r="B113" s="51" t="s">
        <v>75</v>
      </c>
      <c r="C113" s="51" t="s">
        <v>62</v>
      </c>
      <c r="D113" s="53">
        <v>0.87960000000000005</v>
      </c>
      <c r="E113" s="52" t="s">
        <v>244</v>
      </c>
    </row>
    <row r="114" spans="1:5" x14ac:dyDescent="0.35">
      <c r="A114" s="47" t="s">
        <v>240</v>
      </c>
      <c r="B114" s="47" t="s">
        <v>75</v>
      </c>
      <c r="C114" s="47" t="s">
        <v>63</v>
      </c>
      <c r="D114" s="49">
        <v>0.90429999999999999</v>
      </c>
      <c r="E114" s="48" t="s">
        <v>245</v>
      </c>
    </row>
    <row r="115" spans="1:5" x14ac:dyDescent="0.35">
      <c r="A115" s="51" t="s">
        <v>240</v>
      </c>
      <c r="B115" s="51" t="s">
        <v>75</v>
      </c>
      <c r="C115" s="51" t="s">
        <v>64</v>
      </c>
      <c r="D115" s="53">
        <v>0.84919999999999995</v>
      </c>
      <c r="E115" s="52" t="s">
        <v>246</v>
      </c>
    </row>
    <row r="116" spans="1:5" x14ac:dyDescent="0.35">
      <c r="A116" s="47" t="s">
        <v>240</v>
      </c>
      <c r="B116" s="47" t="s">
        <v>71</v>
      </c>
      <c r="C116" s="47" t="s">
        <v>4</v>
      </c>
      <c r="D116" s="49">
        <v>0.88139999999999996</v>
      </c>
      <c r="E116" s="48" t="s">
        <v>247</v>
      </c>
    </row>
    <row r="117" spans="1:5" x14ac:dyDescent="0.35">
      <c r="A117" s="51" t="s">
        <v>240</v>
      </c>
      <c r="B117" s="51" t="s">
        <v>71</v>
      </c>
      <c r="C117" s="51" t="s">
        <v>60</v>
      </c>
      <c r="D117" s="53">
        <v>0.84740000000000004</v>
      </c>
      <c r="E117" s="52" t="s">
        <v>248</v>
      </c>
    </row>
    <row r="118" spans="1:5" x14ac:dyDescent="0.35">
      <c r="A118" s="47" t="s">
        <v>240</v>
      </c>
      <c r="B118" s="47" t="s">
        <v>71</v>
      </c>
      <c r="C118" s="47" t="s">
        <v>61</v>
      </c>
      <c r="D118" s="49">
        <v>0.90580000000000005</v>
      </c>
      <c r="E118" s="48" t="s">
        <v>249</v>
      </c>
    </row>
    <row r="119" spans="1:5" x14ac:dyDescent="0.35">
      <c r="A119" s="51" t="s">
        <v>240</v>
      </c>
      <c r="B119" s="51" t="s">
        <v>71</v>
      </c>
      <c r="C119" s="51" t="s">
        <v>62</v>
      </c>
      <c r="D119" s="53">
        <v>0.81369999999999998</v>
      </c>
      <c r="E119" s="52" t="s">
        <v>250</v>
      </c>
    </row>
    <row r="120" spans="1:5" x14ac:dyDescent="0.35">
      <c r="A120" s="47" t="s">
        <v>240</v>
      </c>
      <c r="B120" s="47" t="s">
        <v>71</v>
      </c>
      <c r="C120" s="47" t="s">
        <v>63</v>
      </c>
      <c r="D120" s="49">
        <v>0.88180000000000003</v>
      </c>
      <c r="E120" s="48" t="s">
        <v>251</v>
      </c>
    </row>
    <row r="121" spans="1:5" x14ac:dyDescent="0.35">
      <c r="A121" s="51" t="s">
        <v>240</v>
      </c>
      <c r="B121" s="51" t="s">
        <v>71</v>
      </c>
      <c r="C121" s="51" t="s">
        <v>64</v>
      </c>
      <c r="D121" s="53">
        <v>0.80079999999999996</v>
      </c>
      <c r="E121" s="52" t="s">
        <v>252</v>
      </c>
    </row>
    <row r="122" spans="1:5" x14ac:dyDescent="0.35">
      <c r="A122" s="47" t="s">
        <v>240</v>
      </c>
      <c r="B122" s="47" t="s">
        <v>73</v>
      </c>
      <c r="C122" s="47" t="s">
        <v>4</v>
      </c>
      <c r="D122" s="49">
        <v>0.91200000000000003</v>
      </c>
      <c r="E122" s="48" t="s">
        <v>253</v>
      </c>
    </row>
    <row r="123" spans="1:5" x14ac:dyDescent="0.35">
      <c r="A123" s="51" t="s">
        <v>240</v>
      </c>
      <c r="B123" s="51" t="s">
        <v>73</v>
      </c>
      <c r="C123" s="51" t="s">
        <v>60</v>
      </c>
      <c r="D123" s="53">
        <v>0.88370000000000004</v>
      </c>
      <c r="E123" s="52" t="s">
        <v>254</v>
      </c>
    </row>
    <row r="124" spans="1:5" x14ac:dyDescent="0.35">
      <c r="A124" s="47" t="s">
        <v>240</v>
      </c>
      <c r="B124" s="47" t="s">
        <v>73</v>
      </c>
      <c r="C124" s="47" t="s">
        <v>61</v>
      </c>
      <c r="D124" s="49">
        <v>0.9486</v>
      </c>
      <c r="E124" s="48" t="s">
        <v>255</v>
      </c>
    </row>
    <row r="125" spans="1:5" x14ac:dyDescent="0.35">
      <c r="A125" s="51" t="s">
        <v>240</v>
      </c>
      <c r="B125" s="51" t="s">
        <v>73</v>
      </c>
      <c r="C125" s="51" t="s">
        <v>62</v>
      </c>
      <c r="D125" s="53">
        <v>0.90049999999999997</v>
      </c>
      <c r="E125" s="52" t="s">
        <v>256</v>
      </c>
    </row>
    <row r="126" spans="1:5" x14ac:dyDescent="0.35">
      <c r="A126" s="47" t="s">
        <v>240</v>
      </c>
      <c r="B126" s="47" t="s">
        <v>73</v>
      </c>
      <c r="C126" s="47" t="s">
        <v>63</v>
      </c>
      <c r="D126" s="49">
        <v>0.91420000000000001</v>
      </c>
      <c r="E126" s="48" t="s">
        <v>257</v>
      </c>
    </row>
    <row r="127" spans="1:5" x14ac:dyDescent="0.35">
      <c r="A127" s="51" t="s">
        <v>240</v>
      </c>
      <c r="B127" s="51" t="s">
        <v>73</v>
      </c>
      <c r="C127" s="51" t="s">
        <v>64</v>
      </c>
      <c r="D127" s="53">
        <v>0.88719999999999999</v>
      </c>
      <c r="E127" s="52" t="s">
        <v>258</v>
      </c>
    </row>
    <row r="128" spans="1:5" x14ac:dyDescent="0.35">
      <c r="A128" s="47" t="s">
        <v>240</v>
      </c>
      <c r="B128" s="47" t="s">
        <v>66</v>
      </c>
      <c r="C128" s="47" t="s">
        <v>4</v>
      </c>
      <c r="D128" s="49">
        <v>0.76070000000000004</v>
      </c>
      <c r="E128" s="48" t="s">
        <v>259</v>
      </c>
    </row>
    <row r="129" spans="1:5" x14ac:dyDescent="0.35">
      <c r="A129" s="51" t="s">
        <v>240</v>
      </c>
      <c r="B129" s="51" t="s">
        <v>66</v>
      </c>
      <c r="C129" s="51" t="s">
        <v>60</v>
      </c>
      <c r="D129" s="53">
        <v>0.46489999999999998</v>
      </c>
      <c r="E129" s="52" t="s">
        <v>260</v>
      </c>
    </row>
    <row r="130" spans="1:5" x14ac:dyDescent="0.35">
      <c r="A130" s="47" t="s">
        <v>240</v>
      </c>
      <c r="B130" s="47" t="s">
        <v>66</v>
      </c>
      <c r="C130" s="47" t="s">
        <v>61</v>
      </c>
      <c r="D130" s="49">
        <v>0.81510000000000005</v>
      </c>
      <c r="E130" s="48" t="s">
        <v>261</v>
      </c>
    </row>
    <row r="131" spans="1:5" x14ac:dyDescent="0.35">
      <c r="A131" s="51" t="s">
        <v>240</v>
      </c>
      <c r="B131" s="51" t="s">
        <v>66</v>
      </c>
      <c r="C131" s="51" t="s">
        <v>62</v>
      </c>
      <c r="D131" s="53">
        <v>0.63339999999999996</v>
      </c>
      <c r="E131" s="52" t="s">
        <v>262</v>
      </c>
    </row>
    <row r="132" spans="1:5" x14ac:dyDescent="0.35">
      <c r="A132" s="47" t="s">
        <v>240</v>
      </c>
      <c r="B132" s="47" t="s">
        <v>66</v>
      </c>
      <c r="C132" s="47" t="s">
        <v>63</v>
      </c>
      <c r="D132" s="49">
        <v>0.81520000000000004</v>
      </c>
      <c r="E132" s="48" t="s">
        <v>263</v>
      </c>
    </row>
    <row r="133" spans="1:5" x14ac:dyDescent="0.35">
      <c r="A133" s="51" t="s">
        <v>240</v>
      </c>
      <c r="B133" s="51" t="s">
        <v>66</v>
      </c>
      <c r="C133" s="51" t="s">
        <v>64</v>
      </c>
      <c r="D133" s="53">
        <v>0.72130000000000005</v>
      </c>
      <c r="E133" s="52" t="s">
        <v>264</v>
      </c>
    </row>
    <row r="134" spans="1:5" x14ac:dyDescent="0.35">
      <c r="A134" s="47" t="s">
        <v>240</v>
      </c>
      <c r="B134" s="47" t="s">
        <v>3</v>
      </c>
      <c r="C134" s="47" t="s">
        <v>4</v>
      </c>
      <c r="D134" s="49">
        <v>0.9214</v>
      </c>
      <c r="E134" s="48" t="s">
        <v>265</v>
      </c>
    </row>
    <row r="135" spans="1:5" x14ac:dyDescent="0.35">
      <c r="A135" s="51" t="s">
        <v>240</v>
      </c>
      <c r="B135" s="51" t="s">
        <v>3</v>
      </c>
      <c r="C135" s="51" t="s">
        <v>60</v>
      </c>
      <c r="D135" s="53">
        <v>0.79600000000000004</v>
      </c>
      <c r="E135" s="52" t="s">
        <v>266</v>
      </c>
    </row>
    <row r="136" spans="1:5" x14ac:dyDescent="0.35">
      <c r="A136" s="47" t="s">
        <v>240</v>
      </c>
      <c r="B136" s="47" t="s">
        <v>3</v>
      </c>
      <c r="C136" s="47" t="s">
        <v>61</v>
      </c>
      <c r="D136" s="49">
        <v>0.95840000000000003</v>
      </c>
      <c r="E136" s="48" t="s">
        <v>267</v>
      </c>
    </row>
    <row r="137" spans="1:5" x14ac:dyDescent="0.35">
      <c r="A137" s="51" t="s">
        <v>240</v>
      </c>
      <c r="B137" s="51" t="s">
        <v>3</v>
      </c>
      <c r="C137" s="51" t="s">
        <v>62</v>
      </c>
      <c r="D137" s="53">
        <v>0.90769999999999995</v>
      </c>
      <c r="E137" s="52" t="s">
        <v>268</v>
      </c>
    </row>
    <row r="138" spans="1:5" x14ac:dyDescent="0.35">
      <c r="A138" s="47" t="s">
        <v>240</v>
      </c>
      <c r="B138" s="47" t="s">
        <v>3</v>
      </c>
      <c r="C138" s="47" t="s">
        <v>63</v>
      </c>
      <c r="D138" s="49">
        <v>0.92559999999999998</v>
      </c>
      <c r="E138" s="48" t="s">
        <v>269</v>
      </c>
    </row>
    <row r="139" spans="1:5" x14ac:dyDescent="0.35">
      <c r="A139" s="51" t="s">
        <v>240</v>
      </c>
      <c r="B139" s="51" t="s">
        <v>3</v>
      </c>
      <c r="C139" s="51" t="s">
        <v>64</v>
      </c>
      <c r="D139" s="53">
        <v>0.93899999999999995</v>
      </c>
      <c r="E139" s="52" t="s">
        <v>270</v>
      </c>
    </row>
    <row r="140" spans="1:5" x14ac:dyDescent="0.35">
      <c r="A140" s="47" t="s">
        <v>240</v>
      </c>
      <c r="B140" s="47" t="s">
        <v>69</v>
      </c>
      <c r="C140" s="47" t="s">
        <v>4</v>
      </c>
      <c r="D140" s="49">
        <v>0.92410000000000003</v>
      </c>
      <c r="E140" s="48" t="s">
        <v>271</v>
      </c>
    </row>
    <row r="141" spans="1:5" x14ac:dyDescent="0.35">
      <c r="A141" s="51" t="s">
        <v>240</v>
      </c>
      <c r="B141" s="51" t="s">
        <v>69</v>
      </c>
      <c r="C141" s="51" t="s">
        <v>60</v>
      </c>
      <c r="D141" s="53">
        <v>0.90880000000000005</v>
      </c>
      <c r="E141" s="52" t="s">
        <v>272</v>
      </c>
    </row>
    <row r="142" spans="1:5" x14ac:dyDescent="0.35">
      <c r="A142" s="47" t="s">
        <v>240</v>
      </c>
      <c r="B142" s="47" t="s">
        <v>69</v>
      </c>
      <c r="C142" s="47" t="s">
        <v>61</v>
      </c>
      <c r="D142" s="49">
        <v>0.92379999999999995</v>
      </c>
      <c r="E142" s="48" t="s">
        <v>273</v>
      </c>
    </row>
    <row r="143" spans="1:5" x14ac:dyDescent="0.35">
      <c r="A143" s="51" t="s">
        <v>240</v>
      </c>
      <c r="B143" s="51" t="s">
        <v>69</v>
      </c>
      <c r="C143" s="51" t="s">
        <v>62</v>
      </c>
      <c r="D143" s="53">
        <v>0.89590000000000003</v>
      </c>
      <c r="E143" s="52" t="s">
        <v>274</v>
      </c>
    </row>
    <row r="144" spans="1:5" x14ac:dyDescent="0.35">
      <c r="A144" s="47" t="s">
        <v>240</v>
      </c>
      <c r="B144" s="47" t="s">
        <v>69</v>
      </c>
      <c r="C144" s="47" t="s">
        <v>63</v>
      </c>
      <c r="D144" s="49">
        <v>0.89129999999999998</v>
      </c>
      <c r="E144" s="48" t="s">
        <v>275</v>
      </c>
    </row>
    <row r="145" spans="1:5" x14ac:dyDescent="0.35">
      <c r="A145" s="51" t="s">
        <v>240</v>
      </c>
      <c r="B145" s="51" t="s">
        <v>69</v>
      </c>
      <c r="C145" s="51" t="s">
        <v>64</v>
      </c>
      <c r="D145" s="53">
        <v>0.8266</v>
      </c>
      <c r="E145" s="52" t="s">
        <v>276</v>
      </c>
    </row>
    <row r="146" spans="1:5" x14ac:dyDescent="0.35">
      <c r="A146" s="47" t="s">
        <v>277</v>
      </c>
      <c r="B146" s="47" t="s">
        <v>75</v>
      </c>
      <c r="C146" s="47" t="s">
        <v>4</v>
      </c>
      <c r="D146" s="49">
        <v>0.9214</v>
      </c>
      <c r="E146" s="48" t="s">
        <v>278</v>
      </c>
    </row>
    <row r="147" spans="1:5" x14ac:dyDescent="0.35">
      <c r="A147" s="51" t="s">
        <v>277</v>
      </c>
      <c r="B147" s="51" t="s">
        <v>75</v>
      </c>
      <c r="C147" s="51" t="s">
        <v>60</v>
      </c>
      <c r="D147" s="53">
        <v>0.89300000000000002</v>
      </c>
      <c r="E147" s="52" t="s">
        <v>279</v>
      </c>
    </row>
    <row r="148" spans="1:5" x14ac:dyDescent="0.35">
      <c r="A148" s="47" t="s">
        <v>277</v>
      </c>
      <c r="B148" s="47" t="s">
        <v>75</v>
      </c>
      <c r="C148" s="47" t="s">
        <v>61</v>
      </c>
      <c r="D148" s="49">
        <v>0.94110000000000005</v>
      </c>
      <c r="E148" s="48" t="s">
        <v>280</v>
      </c>
    </row>
    <row r="149" spans="1:5" x14ac:dyDescent="0.35">
      <c r="A149" s="51" t="s">
        <v>277</v>
      </c>
      <c r="B149" s="51" t="s">
        <v>75</v>
      </c>
      <c r="C149" s="51" t="s">
        <v>62</v>
      </c>
      <c r="D149" s="53">
        <v>0.85909999999999997</v>
      </c>
      <c r="E149" s="52" t="s">
        <v>281</v>
      </c>
    </row>
    <row r="150" spans="1:5" x14ac:dyDescent="0.35">
      <c r="A150" s="47" t="s">
        <v>277</v>
      </c>
      <c r="B150" s="47" t="s">
        <v>75</v>
      </c>
      <c r="C150" s="47" t="s">
        <v>63</v>
      </c>
      <c r="D150" s="49">
        <v>0.89939999999999998</v>
      </c>
      <c r="E150" s="48" t="s">
        <v>282</v>
      </c>
    </row>
    <row r="151" spans="1:5" x14ac:dyDescent="0.35">
      <c r="A151" s="51" t="s">
        <v>277</v>
      </c>
      <c r="B151" s="51" t="s">
        <v>75</v>
      </c>
      <c r="C151" s="51" t="s">
        <v>64</v>
      </c>
      <c r="D151" s="53">
        <v>0.85429999999999995</v>
      </c>
      <c r="E151" s="52" t="s">
        <v>283</v>
      </c>
    </row>
    <row r="152" spans="1:5" x14ac:dyDescent="0.35">
      <c r="A152" s="47" t="s">
        <v>277</v>
      </c>
      <c r="B152" s="47" t="s">
        <v>71</v>
      </c>
      <c r="C152" s="47" t="s">
        <v>4</v>
      </c>
      <c r="D152" s="49">
        <v>0.8881</v>
      </c>
      <c r="E152" s="48" t="s">
        <v>284</v>
      </c>
    </row>
    <row r="153" spans="1:5" x14ac:dyDescent="0.35">
      <c r="A153" s="51" t="s">
        <v>277</v>
      </c>
      <c r="B153" s="51" t="s">
        <v>71</v>
      </c>
      <c r="C153" s="51" t="s">
        <v>60</v>
      </c>
      <c r="D153" s="53">
        <v>0.85609999999999997</v>
      </c>
      <c r="E153" s="52" t="s">
        <v>285</v>
      </c>
    </row>
    <row r="154" spans="1:5" x14ac:dyDescent="0.35">
      <c r="A154" s="47" t="s">
        <v>277</v>
      </c>
      <c r="B154" s="47" t="s">
        <v>71</v>
      </c>
      <c r="C154" s="47" t="s">
        <v>61</v>
      </c>
      <c r="D154" s="49">
        <v>0.90610000000000002</v>
      </c>
      <c r="E154" s="48" t="s">
        <v>286</v>
      </c>
    </row>
    <row r="155" spans="1:5" x14ac:dyDescent="0.35">
      <c r="A155" s="51" t="s">
        <v>277</v>
      </c>
      <c r="B155" s="51" t="s">
        <v>71</v>
      </c>
      <c r="C155" s="51" t="s">
        <v>62</v>
      </c>
      <c r="D155" s="53">
        <v>0.78469999999999995</v>
      </c>
      <c r="E155" s="52" t="s">
        <v>287</v>
      </c>
    </row>
    <row r="156" spans="1:5" x14ac:dyDescent="0.35">
      <c r="A156" s="47" t="s">
        <v>277</v>
      </c>
      <c r="B156" s="47" t="s">
        <v>71</v>
      </c>
      <c r="C156" s="47" t="s">
        <v>63</v>
      </c>
      <c r="D156" s="49">
        <v>0.87219999999999998</v>
      </c>
      <c r="E156" s="48" t="s">
        <v>288</v>
      </c>
    </row>
    <row r="157" spans="1:5" x14ac:dyDescent="0.35">
      <c r="A157" s="51" t="s">
        <v>277</v>
      </c>
      <c r="B157" s="51" t="s">
        <v>71</v>
      </c>
      <c r="C157" s="51" t="s">
        <v>64</v>
      </c>
      <c r="D157" s="53">
        <v>0.81089999999999995</v>
      </c>
      <c r="E157" s="52" t="s">
        <v>289</v>
      </c>
    </row>
    <row r="158" spans="1:5" x14ac:dyDescent="0.35">
      <c r="A158" s="47" t="s">
        <v>277</v>
      </c>
      <c r="B158" s="47" t="s">
        <v>73</v>
      </c>
      <c r="C158" s="47" t="s">
        <v>4</v>
      </c>
      <c r="D158" s="49">
        <v>0.91569999999999996</v>
      </c>
      <c r="E158" s="48" t="s">
        <v>290</v>
      </c>
    </row>
    <row r="159" spans="1:5" x14ac:dyDescent="0.35">
      <c r="A159" s="51" t="s">
        <v>277</v>
      </c>
      <c r="B159" s="51" t="s">
        <v>73</v>
      </c>
      <c r="C159" s="51" t="s">
        <v>60</v>
      </c>
      <c r="D159" s="53">
        <v>0.85929999999999995</v>
      </c>
      <c r="E159" s="52" t="s">
        <v>291</v>
      </c>
    </row>
    <row r="160" spans="1:5" x14ac:dyDescent="0.35">
      <c r="A160" s="47" t="s">
        <v>277</v>
      </c>
      <c r="B160" s="47" t="s">
        <v>73</v>
      </c>
      <c r="C160" s="47" t="s">
        <v>61</v>
      </c>
      <c r="D160" s="49">
        <v>0.94899999999999995</v>
      </c>
      <c r="E160" s="48" t="s">
        <v>292</v>
      </c>
    </row>
    <row r="161" spans="1:5" x14ac:dyDescent="0.35">
      <c r="A161" s="51" t="s">
        <v>277</v>
      </c>
      <c r="B161" s="51" t="s">
        <v>73</v>
      </c>
      <c r="C161" s="51" t="s">
        <v>62</v>
      </c>
      <c r="D161" s="53">
        <v>0.89600000000000002</v>
      </c>
      <c r="E161" s="52" t="s">
        <v>293</v>
      </c>
    </row>
    <row r="162" spans="1:5" x14ac:dyDescent="0.35">
      <c r="A162" s="47" t="s">
        <v>277</v>
      </c>
      <c r="B162" s="47" t="s">
        <v>73</v>
      </c>
      <c r="C162" s="47" t="s">
        <v>63</v>
      </c>
      <c r="D162" s="49">
        <v>0.90649999999999997</v>
      </c>
      <c r="E162" s="48" t="s">
        <v>294</v>
      </c>
    </row>
    <row r="163" spans="1:5" x14ac:dyDescent="0.35">
      <c r="A163" s="51" t="s">
        <v>277</v>
      </c>
      <c r="B163" s="51" t="s">
        <v>73</v>
      </c>
      <c r="C163" s="51" t="s">
        <v>64</v>
      </c>
      <c r="D163" s="53">
        <v>0.87909999999999999</v>
      </c>
      <c r="E163" s="52" t="s">
        <v>295</v>
      </c>
    </row>
    <row r="164" spans="1:5" x14ac:dyDescent="0.35">
      <c r="A164" s="47" t="s">
        <v>277</v>
      </c>
      <c r="B164" s="47" t="s">
        <v>66</v>
      </c>
      <c r="C164" s="47" t="s">
        <v>4</v>
      </c>
      <c r="D164" s="49">
        <v>0.8165</v>
      </c>
      <c r="E164" s="48" t="s">
        <v>296</v>
      </c>
    </row>
    <row r="165" spans="1:5" x14ac:dyDescent="0.35">
      <c r="A165" s="51" t="s">
        <v>277</v>
      </c>
      <c r="B165" s="51" t="s">
        <v>66</v>
      </c>
      <c r="C165" s="51" t="s">
        <v>60</v>
      </c>
      <c r="D165" s="53">
        <v>0.60370000000000001</v>
      </c>
      <c r="E165" s="52" t="s">
        <v>297</v>
      </c>
    </row>
    <row r="166" spans="1:5" x14ac:dyDescent="0.35">
      <c r="A166" s="47" t="s">
        <v>277</v>
      </c>
      <c r="B166" s="47" t="s">
        <v>66</v>
      </c>
      <c r="C166" s="47" t="s">
        <v>61</v>
      </c>
      <c r="D166" s="49">
        <v>0.86680000000000001</v>
      </c>
      <c r="E166" s="48" t="s">
        <v>298</v>
      </c>
    </row>
    <row r="167" spans="1:5" x14ac:dyDescent="0.35">
      <c r="A167" s="51" t="s">
        <v>277</v>
      </c>
      <c r="B167" s="51" t="s">
        <v>66</v>
      </c>
      <c r="C167" s="51" t="s">
        <v>62</v>
      </c>
      <c r="D167" s="53">
        <v>0.66639999999999999</v>
      </c>
      <c r="E167" s="52" t="s">
        <v>299</v>
      </c>
    </row>
    <row r="168" spans="1:5" x14ac:dyDescent="0.35">
      <c r="A168" s="47" t="s">
        <v>277</v>
      </c>
      <c r="B168" s="47" t="s">
        <v>66</v>
      </c>
      <c r="C168" s="47" t="s">
        <v>63</v>
      </c>
      <c r="D168" s="49">
        <v>0.8579</v>
      </c>
      <c r="E168" s="48" t="s">
        <v>300</v>
      </c>
    </row>
    <row r="169" spans="1:5" x14ac:dyDescent="0.35">
      <c r="A169" s="51" t="s">
        <v>277</v>
      </c>
      <c r="B169" s="51" t="s">
        <v>66</v>
      </c>
      <c r="C169" s="51" t="s">
        <v>64</v>
      </c>
      <c r="D169" s="53">
        <v>0.78569999999999995</v>
      </c>
      <c r="E169" s="52" t="s">
        <v>301</v>
      </c>
    </row>
    <row r="170" spans="1:5" x14ac:dyDescent="0.35">
      <c r="A170" s="47" t="s">
        <v>277</v>
      </c>
      <c r="B170" s="47" t="s">
        <v>3</v>
      </c>
      <c r="C170" s="47" t="s">
        <v>4</v>
      </c>
      <c r="D170" s="49">
        <v>0.93879999999999997</v>
      </c>
      <c r="E170" s="48" t="s">
        <v>302</v>
      </c>
    </row>
    <row r="171" spans="1:5" x14ac:dyDescent="0.35">
      <c r="A171" s="51" t="s">
        <v>277</v>
      </c>
      <c r="B171" s="51" t="s">
        <v>3</v>
      </c>
      <c r="C171" s="51" t="s">
        <v>60</v>
      </c>
      <c r="D171" s="53">
        <v>0.85329999999999995</v>
      </c>
      <c r="E171" s="52" t="s">
        <v>303</v>
      </c>
    </row>
    <row r="172" spans="1:5" x14ac:dyDescent="0.35">
      <c r="A172" s="47" t="s">
        <v>277</v>
      </c>
      <c r="B172" s="47" t="s">
        <v>3</v>
      </c>
      <c r="C172" s="47" t="s">
        <v>61</v>
      </c>
      <c r="D172" s="49">
        <v>0.96660000000000001</v>
      </c>
      <c r="E172" s="48" t="s">
        <v>304</v>
      </c>
    </row>
    <row r="173" spans="1:5" x14ac:dyDescent="0.35">
      <c r="A173" s="51" t="s">
        <v>277</v>
      </c>
      <c r="B173" s="51" t="s">
        <v>3</v>
      </c>
      <c r="C173" s="51" t="s">
        <v>62</v>
      </c>
      <c r="D173" s="53">
        <v>0.92030000000000001</v>
      </c>
      <c r="E173" s="52" t="s">
        <v>305</v>
      </c>
    </row>
    <row r="174" spans="1:5" x14ac:dyDescent="0.35">
      <c r="A174" s="47" t="s">
        <v>277</v>
      </c>
      <c r="B174" s="47" t="s">
        <v>3</v>
      </c>
      <c r="C174" s="47" t="s">
        <v>63</v>
      </c>
      <c r="D174" s="49">
        <v>0.93779999999999997</v>
      </c>
      <c r="E174" s="48" t="s">
        <v>306</v>
      </c>
    </row>
    <row r="175" spans="1:5" x14ac:dyDescent="0.35">
      <c r="A175" s="51" t="s">
        <v>277</v>
      </c>
      <c r="B175" s="51" t="s">
        <v>3</v>
      </c>
      <c r="C175" s="51" t="s">
        <v>64</v>
      </c>
      <c r="D175" s="53">
        <v>0.94810000000000005</v>
      </c>
      <c r="E175" s="52" t="s">
        <v>307</v>
      </c>
    </row>
    <row r="176" spans="1:5" x14ac:dyDescent="0.35">
      <c r="A176" s="47" t="s">
        <v>277</v>
      </c>
      <c r="B176" s="47" t="s">
        <v>69</v>
      </c>
      <c r="C176" s="47" t="s">
        <v>4</v>
      </c>
      <c r="D176" s="49">
        <v>0.92879999999999996</v>
      </c>
      <c r="E176" s="48" t="s">
        <v>308</v>
      </c>
    </row>
    <row r="177" spans="1:5" x14ac:dyDescent="0.35">
      <c r="A177" s="51" t="s">
        <v>277</v>
      </c>
      <c r="B177" s="51" t="s">
        <v>69</v>
      </c>
      <c r="C177" s="51" t="s">
        <v>60</v>
      </c>
      <c r="D177" s="53">
        <v>0.90910000000000002</v>
      </c>
      <c r="E177" s="52" t="s">
        <v>309</v>
      </c>
    </row>
    <row r="178" spans="1:5" x14ac:dyDescent="0.35">
      <c r="A178" s="47" t="s">
        <v>277</v>
      </c>
      <c r="B178" s="47" t="s">
        <v>69</v>
      </c>
      <c r="C178" s="47" t="s">
        <v>61</v>
      </c>
      <c r="D178" s="49">
        <v>0.93979999999999997</v>
      </c>
      <c r="E178" s="48" t="s">
        <v>310</v>
      </c>
    </row>
    <row r="179" spans="1:5" x14ac:dyDescent="0.35">
      <c r="A179" s="51" t="s">
        <v>277</v>
      </c>
      <c r="B179" s="51" t="s">
        <v>69</v>
      </c>
      <c r="C179" s="51" t="s">
        <v>62</v>
      </c>
      <c r="D179" s="53">
        <v>0.87429999999999997</v>
      </c>
      <c r="E179" s="52" t="s">
        <v>311</v>
      </c>
    </row>
    <row r="180" spans="1:5" x14ac:dyDescent="0.35">
      <c r="A180" s="47" t="s">
        <v>277</v>
      </c>
      <c r="B180" s="47" t="s">
        <v>69</v>
      </c>
      <c r="C180" s="47" t="s">
        <v>63</v>
      </c>
      <c r="D180" s="49">
        <v>0.8891</v>
      </c>
      <c r="E180" s="48" t="s">
        <v>312</v>
      </c>
    </row>
    <row r="181" spans="1:5" x14ac:dyDescent="0.35">
      <c r="A181" s="51" t="s">
        <v>277</v>
      </c>
      <c r="B181" s="51" t="s">
        <v>69</v>
      </c>
      <c r="C181" s="51" t="s">
        <v>64</v>
      </c>
      <c r="D181" s="53">
        <v>0.83579999999999999</v>
      </c>
      <c r="E181" s="52" t="s">
        <v>313</v>
      </c>
    </row>
    <row r="182" spans="1:5" x14ac:dyDescent="0.35">
      <c r="A182" s="47" t="s">
        <v>314</v>
      </c>
      <c r="B182" s="47" t="s">
        <v>75</v>
      </c>
      <c r="C182" s="47" t="s">
        <v>4</v>
      </c>
      <c r="D182" s="49">
        <v>0.92979999999999996</v>
      </c>
      <c r="E182" s="48" t="s">
        <v>315</v>
      </c>
    </row>
    <row r="183" spans="1:5" x14ac:dyDescent="0.35">
      <c r="A183" s="51" t="s">
        <v>314</v>
      </c>
      <c r="B183" s="51" t="s">
        <v>75</v>
      </c>
      <c r="C183" s="51" t="s">
        <v>60</v>
      </c>
      <c r="D183" s="53">
        <v>0.90620000000000001</v>
      </c>
      <c r="E183" s="52" t="s">
        <v>316</v>
      </c>
    </row>
    <row r="184" spans="1:5" x14ac:dyDescent="0.35">
      <c r="A184" s="47" t="s">
        <v>314</v>
      </c>
      <c r="B184" s="47" t="s">
        <v>75</v>
      </c>
      <c r="C184" s="47" t="s">
        <v>61</v>
      </c>
      <c r="D184" s="49">
        <v>0.9476</v>
      </c>
      <c r="E184" s="48" t="s">
        <v>317</v>
      </c>
    </row>
    <row r="185" spans="1:5" x14ac:dyDescent="0.35">
      <c r="A185" s="51" t="s">
        <v>314</v>
      </c>
      <c r="B185" s="51" t="s">
        <v>75</v>
      </c>
      <c r="C185" s="51" t="s">
        <v>62</v>
      </c>
      <c r="D185" s="53">
        <v>0.86509999999999998</v>
      </c>
      <c r="E185" s="52" t="s">
        <v>318</v>
      </c>
    </row>
    <row r="186" spans="1:5" x14ac:dyDescent="0.35">
      <c r="A186" s="47" t="s">
        <v>314</v>
      </c>
      <c r="B186" s="47" t="s">
        <v>75</v>
      </c>
      <c r="C186" s="47" t="s">
        <v>63</v>
      </c>
      <c r="D186" s="49">
        <v>0.90129999999999999</v>
      </c>
      <c r="E186" s="48" t="s">
        <v>319</v>
      </c>
    </row>
    <row r="187" spans="1:5" x14ac:dyDescent="0.35">
      <c r="A187" s="51" t="s">
        <v>314</v>
      </c>
      <c r="B187" s="51" t="s">
        <v>75</v>
      </c>
      <c r="C187" s="51" t="s">
        <v>64</v>
      </c>
      <c r="D187" s="53">
        <v>0.84819999999999995</v>
      </c>
      <c r="E187" s="52" t="s">
        <v>320</v>
      </c>
    </row>
    <row r="188" spans="1:5" x14ac:dyDescent="0.35">
      <c r="A188" s="47" t="s">
        <v>314</v>
      </c>
      <c r="B188" s="47" t="s">
        <v>71</v>
      </c>
      <c r="C188" s="47" t="s">
        <v>4</v>
      </c>
      <c r="D188" s="49">
        <v>0.89149999999999996</v>
      </c>
      <c r="E188" s="48" t="s">
        <v>321</v>
      </c>
    </row>
    <row r="189" spans="1:5" x14ac:dyDescent="0.35">
      <c r="A189" s="51" t="s">
        <v>314</v>
      </c>
      <c r="B189" s="51" t="s">
        <v>71</v>
      </c>
      <c r="C189" s="51" t="s">
        <v>60</v>
      </c>
      <c r="D189" s="53">
        <v>0.86160000000000003</v>
      </c>
      <c r="E189" s="52" t="s">
        <v>322</v>
      </c>
    </row>
    <row r="190" spans="1:5" x14ac:dyDescent="0.35">
      <c r="A190" s="47" t="s">
        <v>314</v>
      </c>
      <c r="B190" s="47" t="s">
        <v>71</v>
      </c>
      <c r="C190" s="47" t="s">
        <v>61</v>
      </c>
      <c r="D190" s="49">
        <v>0.91379999999999995</v>
      </c>
      <c r="E190" s="48" t="s">
        <v>323</v>
      </c>
    </row>
    <row r="191" spans="1:5" x14ac:dyDescent="0.35">
      <c r="A191" s="51" t="s">
        <v>314</v>
      </c>
      <c r="B191" s="51" t="s">
        <v>71</v>
      </c>
      <c r="C191" s="51" t="s">
        <v>62</v>
      </c>
      <c r="D191" s="53">
        <v>0.78439999999999999</v>
      </c>
      <c r="E191" s="52" t="s">
        <v>324</v>
      </c>
    </row>
    <row r="192" spans="1:5" x14ac:dyDescent="0.35">
      <c r="A192" s="47" t="s">
        <v>314</v>
      </c>
      <c r="B192" s="47" t="s">
        <v>71</v>
      </c>
      <c r="C192" s="47" t="s">
        <v>63</v>
      </c>
      <c r="D192" s="49">
        <v>0.86629999999999996</v>
      </c>
      <c r="E192" s="48" t="s">
        <v>325</v>
      </c>
    </row>
    <row r="193" spans="1:5" x14ac:dyDescent="0.35">
      <c r="A193" s="51" t="s">
        <v>314</v>
      </c>
      <c r="B193" s="51" t="s">
        <v>71</v>
      </c>
      <c r="C193" s="51" t="s">
        <v>64</v>
      </c>
      <c r="D193" s="53">
        <v>0.79830000000000001</v>
      </c>
      <c r="E193" s="52" t="s">
        <v>326</v>
      </c>
    </row>
    <row r="194" spans="1:5" x14ac:dyDescent="0.35">
      <c r="A194" s="47" t="s">
        <v>314</v>
      </c>
      <c r="B194" s="47" t="s">
        <v>73</v>
      </c>
      <c r="C194" s="47" t="s">
        <v>4</v>
      </c>
      <c r="D194" s="49">
        <v>0.92320000000000002</v>
      </c>
      <c r="E194" s="48" t="s">
        <v>327</v>
      </c>
    </row>
    <row r="195" spans="1:5" x14ac:dyDescent="0.35">
      <c r="A195" s="51" t="s">
        <v>314</v>
      </c>
      <c r="B195" s="51" t="s">
        <v>73</v>
      </c>
      <c r="C195" s="51" t="s">
        <v>60</v>
      </c>
      <c r="D195" s="53">
        <v>0.8669</v>
      </c>
      <c r="E195" s="52" t="s">
        <v>328</v>
      </c>
    </row>
    <row r="196" spans="1:5" x14ac:dyDescent="0.35">
      <c r="A196" s="47" t="s">
        <v>314</v>
      </c>
      <c r="B196" s="47" t="s">
        <v>73</v>
      </c>
      <c r="C196" s="47" t="s">
        <v>61</v>
      </c>
      <c r="D196" s="49">
        <v>0.95450000000000002</v>
      </c>
      <c r="E196" s="48" t="s">
        <v>329</v>
      </c>
    </row>
    <row r="197" spans="1:5" x14ac:dyDescent="0.35">
      <c r="A197" s="51" t="s">
        <v>314</v>
      </c>
      <c r="B197" s="51" t="s">
        <v>73</v>
      </c>
      <c r="C197" s="51" t="s">
        <v>62</v>
      </c>
      <c r="D197" s="53">
        <v>0.90239999999999998</v>
      </c>
      <c r="E197" s="52" t="s">
        <v>330</v>
      </c>
    </row>
    <row r="198" spans="1:5" x14ac:dyDescent="0.35">
      <c r="A198" s="47" t="s">
        <v>314</v>
      </c>
      <c r="B198" s="47" t="s">
        <v>73</v>
      </c>
      <c r="C198" s="47" t="s">
        <v>63</v>
      </c>
      <c r="D198" s="49">
        <v>0.91390000000000005</v>
      </c>
      <c r="E198" s="48" t="s">
        <v>331</v>
      </c>
    </row>
    <row r="199" spans="1:5" x14ac:dyDescent="0.35">
      <c r="A199" s="51" t="s">
        <v>314</v>
      </c>
      <c r="B199" s="51" t="s">
        <v>73</v>
      </c>
      <c r="C199" s="51" t="s">
        <v>64</v>
      </c>
      <c r="D199" s="53">
        <v>0.88560000000000005</v>
      </c>
      <c r="E199" s="52" t="s">
        <v>332</v>
      </c>
    </row>
    <row r="200" spans="1:5" x14ac:dyDescent="0.35">
      <c r="A200" s="47" t="s">
        <v>314</v>
      </c>
      <c r="B200" s="47" t="s">
        <v>66</v>
      </c>
      <c r="C200" s="47" t="s">
        <v>4</v>
      </c>
      <c r="D200" s="49">
        <v>0.85229999999999995</v>
      </c>
      <c r="E200" s="48" t="s">
        <v>333</v>
      </c>
    </row>
    <row r="201" spans="1:5" x14ac:dyDescent="0.35">
      <c r="A201" s="51" t="s">
        <v>314</v>
      </c>
      <c r="B201" s="51" t="s">
        <v>66</v>
      </c>
      <c r="C201" s="51" t="s">
        <v>60</v>
      </c>
      <c r="D201" s="53">
        <v>0.64510000000000001</v>
      </c>
      <c r="E201" s="52" t="s">
        <v>334</v>
      </c>
    </row>
    <row r="202" spans="1:5" x14ac:dyDescent="0.35">
      <c r="A202" s="47" t="s">
        <v>314</v>
      </c>
      <c r="B202" s="47" t="s">
        <v>66</v>
      </c>
      <c r="C202" s="47" t="s">
        <v>61</v>
      </c>
      <c r="D202" s="49">
        <v>0.87229999999999996</v>
      </c>
      <c r="E202" s="48" t="s">
        <v>335</v>
      </c>
    </row>
    <row r="203" spans="1:5" x14ac:dyDescent="0.35">
      <c r="A203" s="51" t="s">
        <v>314</v>
      </c>
      <c r="B203" s="51" t="s">
        <v>66</v>
      </c>
      <c r="C203" s="51" t="s">
        <v>62</v>
      </c>
      <c r="D203" s="53">
        <v>0.6905</v>
      </c>
      <c r="E203" s="52" t="s">
        <v>336</v>
      </c>
    </row>
    <row r="204" spans="1:5" x14ac:dyDescent="0.35">
      <c r="A204" s="47" t="s">
        <v>314</v>
      </c>
      <c r="B204" s="47" t="s">
        <v>66</v>
      </c>
      <c r="C204" s="47" t="s">
        <v>63</v>
      </c>
      <c r="D204" s="49">
        <v>0.88119999999999998</v>
      </c>
      <c r="E204" s="48" t="s">
        <v>337</v>
      </c>
    </row>
    <row r="205" spans="1:5" x14ac:dyDescent="0.35">
      <c r="A205" s="51" t="s">
        <v>314</v>
      </c>
      <c r="B205" s="51" t="s">
        <v>66</v>
      </c>
      <c r="C205" s="51" t="s">
        <v>64</v>
      </c>
      <c r="D205" s="53">
        <v>0.83809999999999996</v>
      </c>
      <c r="E205" s="52" t="s">
        <v>338</v>
      </c>
    </row>
    <row r="206" spans="1:5" x14ac:dyDescent="0.35">
      <c r="A206" s="47" t="s">
        <v>314</v>
      </c>
      <c r="B206" s="47" t="s">
        <v>3</v>
      </c>
      <c r="C206" s="47" t="s">
        <v>4</v>
      </c>
      <c r="D206" s="49">
        <v>0.94379999999999997</v>
      </c>
      <c r="E206" s="48" t="s">
        <v>339</v>
      </c>
    </row>
    <row r="207" spans="1:5" x14ac:dyDescent="0.35">
      <c r="A207" s="51" t="s">
        <v>314</v>
      </c>
      <c r="B207" s="51" t="s">
        <v>3</v>
      </c>
      <c r="C207" s="51" t="s">
        <v>60</v>
      </c>
      <c r="D207" s="53">
        <v>0.85829999999999995</v>
      </c>
      <c r="E207" s="52" t="s">
        <v>340</v>
      </c>
    </row>
    <row r="208" spans="1:5" x14ac:dyDescent="0.35">
      <c r="A208" s="47" t="s">
        <v>314</v>
      </c>
      <c r="B208" s="47" t="s">
        <v>3</v>
      </c>
      <c r="C208" s="47" t="s">
        <v>61</v>
      </c>
      <c r="D208" s="49">
        <v>0.97240000000000004</v>
      </c>
      <c r="E208" s="48" t="s">
        <v>341</v>
      </c>
    </row>
    <row r="209" spans="1:5" x14ac:dyDescent="0.35">
      <c r="A209" s="51" t="s">
        <v>314</v>
      </c>
      <c r="B209" s="51" t="s">
        <v>3</v>
      </c>
      <c r="C209" s="51" t="s">
        <v>62</v>
      </c>
      <c r="D209" s="53">
        <v>0.92989999999999995</v>
      </c>
      <c r="E209" s="52" t="s">
        <v>342</v>
      </c>
    </row>
    <row r="210" spans="1:5" x14ac:dyDescent="0.35">
      <c r="A210" s="47" t="s">
        <v>314</v>
      </c>
      <c r="B210" s="47" t="s">
        <v>3</v>
      </c>
      <c r="C210" s="47" t="s">
        <v>63</v>
      </c>
      <c r="D210" s="49">
        <v>0.94769999999999999</v>
      </c>
      <c r="E210" s="48" t="s">
        <v>343</v>
      </c>
    </row>
    <row r="211" spans="1:5" x14ac:dyDescent="0.35">
      <c r="A211" s="51" t="s">
        <v>314</v>
      </c>
      <c r="B211" s="51" t="s">
        <v>3</v>
      </c>
      <c r="C211" s="51" t="s">
        <v>64</v>
      </c>
      <c r="D211" s="53">
        <v>0.95830000000000004</v>
      </c>
      <c r="E211" s="52" t="s">
        <v>344</v>
      </c>
    </row>
    <row r="212" spans="1:5" x14ac:dyDescent="0.35">
      <c r="A212" s="47" t="s">
        <v>314</v>
      </c>
      <c r="B212" s="47" t="s">
        <v>69</v>
      </c>
      <c r="C212" s="47" t="s">
        <v>4</v>
      </c>
      <c r="D212" s="49">
        <v>0.93769999999999998</v>
      </c>
      <c r="E212" s="48" t="s">
        <v>345</v>
      </c>
    </row>
    <row r="213" spans="1:5" x14ac:dyDescent="0.35">
      <c r="A213" s="51" t="s">
        <v>314</v>
      </c>
      <c r="B213" s="51" t="s">
        <v>69</v>
      </c>
      <c r="C213" s="51" t="s">
        <v>60</v>
      </c>
      <c r="D213" s="53">
        <v>0.91839999999999999</v>
      </c>
      <c r="E213" s="52" t="s">
        <v>346</v>
      </c>
    </row>
    <row r="214" spans="1:5" x14ac:dyDescent="0.35">
      <c r="A214" s="47" t="s">
        <v>314</v>
      </c>
      <c r="B214" s="47" t="s">
        <v>69</v>
      </c>
      <c r="C214" s="47" t="s">
        <v>61</v>
      </c>
      <c r="D214" s="49">
        <v>0.94730000000000003</v>
      </c>
      <c r="E214" s="48" t="s">
        <v>347</v>
      </c>
    </row>
    <row r="215" spans="1:5" x14ac:dyDescent="0.35">
      <c r="A215" s="51" t="s">
        <v>314</v>
      </c>
      <c r="B215" s="51" t="s">
        <v>69</v>
      </c>
      <c r="C215" s="51" t="s">
        <v>62</v>
      </c>
      <c r="D215" s="53">
        <v>0.87739999999999996</v>
      </c>
      <c r="E215" s="52" t="s">
        <v>348</v>
      </c>
    </row>
    <row r="216" spans="1:5" x14ac:dyDescent="0.35">
      <c r="A216" s="47" t="s">
        <v>314</v>
      </c>
      <c r="B216" s="47" t="s">
        <v>69</v>
      </c>
      <c r="C216" s="47" t="s">
        <v>63</v>
      </c>
      <c r="D216" s="49">
        <v>0.89019999999999999</v>
      </c>
      <c r="E216" s="48" t="s">
        <v>349</v>
      </c>
    </row>
    <row r="217" spans="1:5" x14ac:dyDescent="0.35">
      <c r="A217" s="51" t="s">
        <v>314</v>
      </c>
      <c r="B217" s="51" t="s">
        <v>69</v>
      </c>
      <c r="C217" s="51" t="s">
        <v>64</v>
      </c>
      <c r="D217" s="53">
        <v>0.81920000000000004</v>
      </c>
      <c r="E217" s="52" t="s">
        <v>350</v>
      </c>
    </row>
    <row r="218" spans="1:5" x14ac:dyDescent="0.35">
      <c r="A218" s="47" t="s">
        <v>351</v>
      </c>
      <c r="B218" s="47" t="s">
        <v>75</v>
      </c>
      <c r="C218" s="47" t="s">
        <v>4</v>
      </c>
      <c r="D218" s="49">
        <v>0.92300000000000004</v>
      </c>
      <c r="E218" s="48" t="s">
        <v>352</v>
      </c>
    </row>
    <row r="219" spans="1:5" x14ac:dyDescent="0.35">
      <c r="A219" s="51" t="s">
        <v>351</v>
      </c>
      <c r="B219" s="51" t="s">
        <v>75</v>
      </c>
      <c r="C219" s="51" t="s">
        <v>60</v>
      </c>
      <c r="D219" s="53">
        <v>0.89559999999999995</v>
      </c>
      <c r="E219" s="52" t="s">
        <v>353</v>
      </c>
    </row>
    <row r="220" spans="1:5" x14ac:dyDescent="0.35">
      <c r="A220" s="47" t="s">
        <v>351</v>
      </c>
      <c r="B220" s="47" t="s">
        <v>75</v>
      </c>
      <c r="C220" s="47" t="s">
        <v>61</v>
      </c>
      <c r="D220" s="49">
        <v>0.94299999999999995</v>
      </c>
      <c r="E220" s="48" t="s">
        <v>354</v>
      </c>
    </row>
    <row r="221" spans="1:5" x14ac:dyDescent="0.35">
      <c r="A221" s="51" t="s">
        <v>351</v>
      </c>
      <c r="B221" s="51" t="s">
        <v>75</v>
      </c>
      <c r="C221" s="51" t="s">
        <v>62</v>
      </c>
      <c r="D221" s="53">
        <v>0.86040000000000005</v>
      </c>
      <c r="E221" s="52" t="s">
        <v>355</v>
      </c>
    </row>
    <row r="222" spans="1:5" x14ac:dyDescent="0.35">
      <c r="A222" s="47" t="s">
        <v>351</v>
      </c>
      <c r="B222" s="47" t="s">
        <v>75</v>
      </c>
      <c r="C222" s="47" t="s">
        <v>63</v>
      </c>
      <c r="D222" s="49">
        <v>0.9042</v>
      </c>
      <c r="E222" s="48" t="s">
        <v>356</v>
      </c>
    </row>
    <row r="223" spans="1:5" x14ac:dyDescent="0.35">
      <c r="A223" s="51" t="s">
        <v>351</v>
      </c>
      <c r="B223" s="51" t="s">
        <v>75</v>
      </c>
      <c r="C223" s="51" t="s">
        <v>64</v>
      </c>
      <c r="D223" s="53">
        <v>0.85770000000000002</v>
      </c>
      <c r="E223" s="52" t="s">
        <v>357</v>
      </c>
    </row>
    <row r="224" spans="1:5" x14ac:dyDescent="0.35">
      <c r="A224" s="47" t="s">
        <v>351</v>
      </c>
      <c r="B224" s="47" t="s">
        <v>71</v>
      </c>
      <c r="C224" s="47" t="s">
        <v>4</v>
      </c>
      <c r="D224" s="49">
        <v>0.8891</v>
      </c>
      <c r="E224" s="48" t="s">
        <v>358</v>
      </c>
    </row>
    <row r="225" spans="1:5" x14ac:dyDescent="0.35">
      <c r="A225" s="51" t="s">
        <v>351</v>
      </c>
      <c r="B225" s="51" t="s">
        <v>71</v>
      </c>
      <c r="C225" s="51" t="s">
        <v>60</v>
      </c>
      <c r="D225" s="53">
        <v>0.85670000000000002</v>
      </c>
      <c r="E225" s="52" t="s">
        <v>359</v>
      </c>
    </row>
    <row r="226" spans="1:5" x14ac:dyDescent="0.35">
      <c r="A226" s="47" t="s">
        <v>351</v>
      </c>
      <c r="B226" s="47" t="s">
        <v>71</v>
      </c>
      <c r="C226" s="47" t="s">
        <v>61</v>
      </c>
      <c r="D226" s="49">
        <v>0.90859999999999996</v>
      </c>
      <c r="E226" s="48" t="s">
        <v>360</v>
      </c>
    </row>
    <row r="227" spans="1:5" x14ac:dyDescent="0.35">
      <c r="A227" s="51" t="s">
        <v>351</v>
      </c>
      <c r="B227" s="51" t="s">
        <v>71</v>
      </c>
      <c r="C227" s="51" t="s">
        <v>62</v>
      </c>
      <c r="D227" s="53">
        <v>0.78669999999999995</v>
      </c>
      <c r="E227" s="52" t="s">
        <v>361</v>
      </c>
    </row>
    <row r="228" spans="1:5" x14ac:dyDescent="0.35">
      <c r="A228" s="47" t="s">
        <v>351</v>
      </c>
      <c r="B228" s="47" t="s">
        <v>71</v>
      </c>
      <c r="C228" s="47" t="s">
        <v>63</v>
      </c>
      <c r="D228" s="49">
        <v>0.87719999999999998</v>
      </c>
      <c r="E228" s="48" t="s">
        <v>362</v>
      </c>
    </row>
    <row r="229" spans="1:5" x14ac:dyDescent="0.35">
      <c r="A229" s="51" t="s">
        <v>351</v>
      </c>
      <c r="B229" s="51" t="s">
        <v>71</v>
      </c>
      <c r="C229" s="51" t="s">
        <v>64</v>
      </c>
      <c r="D229" s="53">
        <v>0.81120000000000003</v>
      </c>
      <c r="E229" s="52" t="s">
        <v>363</v>
      </c>
    </row>
    <row r="230" spans="1:5" x14ac:dyDescent="0.35">
      <c r="A230" s="47" t="s">
        <v>351</v>
      </c>
      <c r="B230" s="47" t="s">
        <v>73</v>
      </c>
      <c r="C230" s="47" t="s">
        <v>4</v>
      </c>
      <c r="D230" s="49">
        <v>0.91690000000000005</v>
      </c>
      <c r="E230" s="48" t="s">
        <v>364</v>
      </c>
    </row>
    <row r="231" spans="1:5" x14ac:dyDescent="0.35">
      <c r="A231" s="51" t="s">
        <v>351</v>
      </c>
      <c r="B231" s="51" t="s">
        <v>73</v>
      </c>
      <c r="C231" s="51" t="s">
        <v>60</v>
      </c>
      <c r="D231" s="53">
        <v>0.86</v>
      </c>
      <c r="E231" s="52" t="s">
        <v>365</v>
      </c>
    </row>
    <row r="232" spans="1:5" x14ac:dyDescent="0.35">
      <c r="A232" s="47" t="s">
        <v>351</v>
      </c>
      <c r="B232" s="47" t="s">
        <v>73</v>
      </c>
      <c r="C232" s="47" t="s">
        <v>61</v>
      </c>
      <c r="D232" s="49">
        <v>0.95009999999999994</v>
      </c>
      <c r="E232" s="48" t="s">
        <v>366</v>
      </c>
    </row>
    <row r="233" spans="1:5" x14ac:dyDescent="0.35">
      <c r="A233" s="51" t="s">
        <v>351</v>
      </c>
      <c r="B233" s="51" t="s">
        <v>73</v>
      </c>
      <c r="C233" s="51" t="s">
        <v>62</v>
      </c>
      <c r="D233" s="53">
        <v>0.89770000000000005</v>
      </c>
      <c r="E233" s="52" t="s">
        <v>367</v>
      </c>
    </row>
    <row r="234" spans="1:5" x14ac:dyDescent="0.35">
      <c r="A234" s="47" t="s">
        <v>351</v>
      </c>
      <c r="B234" s="47" t="s">
        <v>73</v>
      </c>
      <c r="C234" s="47" t="s">
        <v>63</v>
      </c>
      <c r="D234" s="49">
        <v>0.90890000000000004</v>
      </c>
      <c r="E234" s="48" t="s">
        <v>368</v>
      </c>
    </row>
    <row r="235" spans="1:5" x14ac:dyDescent="0.35">
      <c r="A235" s="51" t="s">
        <v>351</v>
      </c>
      <c r="B235" s="51" t="s">
        <v>73</v>
      </c>
      <c r="C235" s="51" t="s">
        <v>64</v>
      </c>
      <c r="D235" s="53">
        <v>0.88119999999999998</v>
      </c>
      <c r="E235" s="52" t="s">
        <v>369</v>
      </c>
    </row>
    <row r="236" spans="1:5" x14ac:dyDescent="0.35">
      <c r="A236" s="47" t="s">
        <v>351</v>
      </c>
      <c r="B236" s="47" t="s">
        <v>66</v>
      </c>
      <c r="C236" s="47" t="s">
        <v>4</v>
      </c>
      <c r="D236" s="49">
        <v>0.82440000000000002</v>
      </c>
      <c r="E236" s="48" t="s">
        <v>370</v>
      </c>
    </row>
    <row r="237" spans="1:5" x14ac:dyDescent="0.35">
      <c r="A237" s="51" t="s">
        <v>351</v>
      </c>
      <c r="B237" s="51" t="s">
        <v>66</v>
      </c>
      <c r="C237" s="51" t="s">
        <v>60</v>
      </c>
      <c r="D237" s="53">
        <v>0.64790000000000003</v>
      </c>
      <c r="E237" s="52" t="s">
        <v>371</v>
      </c>
    </row>
    <row r="238" spans="1:5" x14ac:dyDescent="0.35">
      <c r="A238" s="47" t="s">
        <v>351</v>
      </c>
      <c r="B238" s="47" t="s">
        <v>66</v>
      </c>
      <c r="C238" s="47" t="s">
        <v>61</v>
      </c>
      <c r="D238" s="49">
        <v>0.875</v>
      </c>
      <c r="E238" s="48" t="s">
        <v>372</v>
      </c>
    </row>
    <row r="239" spans="1:5" x14ac:dyDescent="0.35">
      <c r="A239" s="51" t="s">
        <v>351</v>
      </c>
      <c r="B239" s="51" t="s">
        <v>66</v>
      </c>
      <c r="C239" s="51" t="s">
        <v>62</v>
      </c>
      <c r="D239" s="53">
        <v>0.67530000000000001</v>
      </c>
      <c r="E239" s="52" t="s">
        <v>373</v>
      </c>
    </row>
    <row r="240" spans="1:5" x14ac:dyDescent="0.35">
      <c r="A240" s="47" t="s">
        <v>351</v>
      </c>
      <c r="B240" s="47" t="s">
        <v>66</v>
      </c>
      <c r="C240" s="47" t="s">
        <v>63</v>
      </c>
      <c r="D240" s="49">
        <v>0.86670000000000003</v>
      </c>
      <c r="E240" s="48" t="s">
        <v>374</v>
      </c>
    </row>
    <row r="241" spans="1:5" x14ac:dyDescent="0.35">
      <c r="A241" s="51" t="s">
        <v>351</v>
      </c>
      <c r="B241" s="51" t="s">
        <v>66</v>
      </c>
      <c r="C241" s="51" t="s">
        <v>64</v>
      </c>
      <c r="D241" s="53">
        <v>0.80349999999999999</v>
      </c>
      <c r="E241" s="52" t="s">
        <v>375</v>
      </c>
    </row>
    <row r="242" spans="1:5" x14ac:dyDescent="0.35">
      <c r="A242" s="47" t="s">
        <v>351</v>
      </c>
      <c r="B242" s="47" t="s">
        <v>3</v>
      </c>
      <c r="C242" s="47" t="s">
        <v>4</v>
      </c>
      <c r="D242" s="49">
        <v>0.94420000000000004</v>
      </c>
      <c r="E242" s="48" t="s">
        <v>376</v>
      </c>
    </row>
    <row r="243" spans="1:5" x14ac:dyDescent="0.35">
      <c r="A243" s="51" t="s">
        <v>351</v>
      </c>
      <c r="B243" s="51" t="s">
        <v>3</v>
      </c>
      <c r="C243" s="51" t="s">
        <v>60</v>
      </c>
      <c r="D243" s="53">
        <v>0.86909999999999998</v>
      </c>
      <c r="E243" s="52" t="s">
        <v>377</v>
      </c>
    </row>
    <row r="244" spans="1:5" x14ac:dyDescent="0.35">
      <c r="A244" s="47" t="s">
        <v>351</v>
      </c>
      <c r="B244" s="47" t="s">
        <v>3</v>
      </c>
      <c r="C244" s="47" t="s">
        <v>61</v>
      </c>
      <c r="D244" s="49">
        <v>0.96799999999999997</v>
      </c>
      <c r="E244" s="48" t="s">
        <v>378</v>
      </c>
    </row>
    <row r="245" spans="1:5" x14ac:dyDescent="0.35">
      <c r="A245" s="51" t="s">
        <v>351</v>
      </c>
      <c r="B245" s="51" t="s">
        <v>3</v>
      </c>
      <c r="C245" s="51" t="s">
        <v>62</v>
      </c>
      <c r="D245" s="53">
        <v>0.92479999999999996</v>
      </c>
      <c r="E245" s="52" t="s">
        <v>379</v>
      </c>
    </row>
    <row r="246" spans="1:5" x14ac:dyDescent="0.35">
      <c r="A246" s="47" t="s">
        <v>351</v>
      </c>
      <c r="B246" s="47" t="s">
        <v>3</v>
      </c>
      <c r="C246" s="47" t="s">
        <v>63</v>
      </c>
      <c r="D246" s="49">
        <v>0.94069999999999998</v>
      </c>
      <c r="E246" s="48" t="s">
        <v>380</v>
      </c>
    </row>
    <row r="247" spans="1:5" x14ac:dyDescent="0.35">
      <c r="A247" s="51" t="s">
        <v>351</v>
      </c>
      <c r="B247" s="51" t="s">
        <v>3</v>
      </c>
      <c r="C247" s="51" t="s">
        <v>64</v>
      </c>
      <c r="D247" s="53">
        <v>0.95030000000000003</v>
      </c>
      <c r="E247" s="52" t="s">
        <v>381</v>
      </c>
    </row>
    <row r="248" spans="1:5" x14ac:dyDescent="0.35">
      <c r="A248" s="47" t="s">
        <v>351</v>
      </c>
      <c r="B248" s="47" t="s">
        <v>69</v>
      </c>
      <c r="C248" s="47" t="s">
        <v>4</v>
      </c>
      <c r="D248" s="49">
        <v>0.93</v>
      </c>
      <c r="E248" s="48" t="s">
        <v>382</v>
      </c>
    </row>
    <row r="249" spans="1:5" x14ac:dyDescent="0.35">
      <c r="A249" s="51" t="s">
        <v>351</v>
      </c>
      <c r="B249" s="51" t="s">
        <v>69</v>
      </c>
      <c r="C249" s="51" t="s">
        <v>60</v>
      </c>
      <c r="D249" s="53">
        <v>0.91100000000000003</v>
      </c>
      <c r="E249" s="52" t="s">
        <v>383</v>
      </c>
    </row>
    <row r="250" spans="1:5" x14ac:dyDescent="0.35">
      <c r="A250" s="47" t="s">
        <v>351</v>
      </c>
      <c r="B250" s="47" t="s">
        <v>69</v>
      </c>
      <c r="C250" s="47" t="s">
        <v>61</v>
      </c>
      <c r="D250" s="49">
        <v>0.94210000000000005</v>
      </c>
      <c r="E250" s="48" t="s">
        <v>384</v>
      </c>
    </row>
    <row r="251" spans="1:5" x14ac:dyDescent="0.35">
      <c r="A251" s="51" t="s">
        <v>351</v>
      </c>
      <c r="B251" s="51" t="s">
        <v>69</v>
      </c>
      <c r="C251" s="51" t="s">
        <v>62</v>
      </c>
      <c r="D251" s="53">
        <v>0.87560000000000004</v>
      </c>
      <c r="E251" s="52" t="s">
        <v>385</v>
      </c>
    </row>
    <row r="252" spans="1:5" x14ac:dyDescent="0.35">
      <c r="A252" s="47" t="s">
        <v>351</v>
      </c>
      <c r="B252" s="47" t="s">
        <v>69</v>
      </c>
      <c r="C252" s="47" t="s">
        <v>63</v>
      </c>
      <c r="D252" s="49">
        <v>0.89480000000000004</v>
      </c>
      <c r="E252" s="48" t="s">
        <v>386</v>
      </c>
    </row>
    <row r="253" spans="1:5" x14ac:dyDescent="0.35">
      <c r="A253" s="51" t="s">
        <v>351</v>
      </c>
      <c r="B253" s="51" t="s">
        <v>69</v>
      </c>
      <c r="C253" s="51" t="s">
        <v>64</v>
      </c>
      <c r="D253" s="53">
        <v>0.84</v>
      </c>
      <c r="E253" s="52" t="s">
        <v>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F9F27"/>
  </sheetPr>
  <dimension ref="A1:I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8" width="10" customWidth="1"/>
    <col min="9" max="9" width="40" customWidth="1"/>
  </cols>
  <sheetData>
    <row r="1" spans="1:9" x14ac:dyDescent="0.35">
      <c r="A1" s="12" t="s">
        <v>388</v>
      </c>
      <c r="B1" s="12" t="s">
        <v>114</v>
      </c>
      <c r="C1" s="12" t="s">
        <v>50</v>
      </c>
      <c r="D1" s="12" t="s">
        <v>113</v>
      </c>
      <c r="E1" s="12" t="s">
        <v>115</v>
      </c>
      <c r="F1" s="12" t="s">
        <v>116</v>
      </c>
      <c r="G1" s="12" t="s">
        <v>117</v>
      </c>
      <c r="H1" s="12" t="s">
        <v>109</v>
      </c>
      <c r="I1" s="12" t="s">
        <v>389</v>
      </c>
    </row>
    <row r="2" spans="1:9" ht="20" customHeight="1" x14ac:dyDescent="0.35">
      <c r="A2" s="68" t="s">
        <v>45</v>
      </c>
      <c r="B2" s="69">
        <v>0.1</v>
      </c>
      <c r="C2" s="69">
        <v>0.2</v>
      </c>
      <c r="D2" s="69">
        <v>0.05</v>
      </c>
      <c r="E2" s="69">
        <v>0.15</v>
      </c>
      <c r="F2" s="69">
        <v>0.3</v>
      </c>
      <c r="G2" s="69">
        <v>0.15</v>
      </c>
      <c r="H2" s="69">
        <v>0.05</v>
      </c>
      <c r="I2" s="70" t="s">
        <v>390</v>
      </c>
    </row>
    <row r="3" spans="1:9" ht="20" customHeight="1" x14ac:dyDescent="0.35">
      <c r="A3" s="71" t="s">
        <v>166</v>
      </c>
      <c r="B3" s="72">
        <v>0.25</v>
      </c>
      <c r="C3" s="72">
        <v>0.2</v>
      </c>
      <c r="D3" s="72">
        <v>0.15</v>
      </c>
      <c r="E3" s="72">
        <v>0.15</v>
      </c>
      <c r="F3" s="72">
        <v>0.1</v>
      </c>
      <c r="G3" s="72">
        <v>0.1</v>
      </c>
      <c r="H3" s="72">
        <v>0.05</v>
      </c>
      <c r="I3" s="73" t="s">
        <v>391</v>
      </c>
    </row>
    <row r="4" spans="1:9" ht="20" customHeight="1" x14ac:dyDescent="0.35">
      <c r="A4" s="68" t="s">
        <v>203</v>
      </c>
      <c r="B4" s="69">
        <v>0.15</v>
      </c>
      <c r="C4" s="69">
        <v>0.1</v>
      </c>
      <c r="D4" s="69">
        <v>0.1</v>
      </c>
      <c r="E4" s="69">
        <v>0.3</v>
      </c>
      <c r="F4" s="69">
        <v>0.2</v>
      </c>
      <c r="G4" s="69">
        <v>0.1</v>
      </c>
      <c r="H4" s="69">
        <v>0.05</v>
      </c>
      <c r="I4" s="70" t="s">
        <v>392</v>
      </c>
    </row>
    <row r="5" spans="1:9" ht="20" customHeight="1" x14ac:dyDescent="0.35">
      <c r="A5" s="71" t="s">
        <v>240</v>
      </c>
      <c r="B5" s="72">
        <v>0.1</v>
      </c>
      <c r="C5" s="72">
        <v>0.1</v>
      </c>
      <c r="D5" s="72">
        <v>0.1</v>
      </c>
      <c r="E5" s="72">
        <v>0.2</v>
      </c>
      <c r="F5" s="72">
        <v>0.1</v>
      </c>
      <c r="G5" s="72">
        <v>0.25</v>
      </c>
      <c r="H5" s="72">
        <v>0.15</v>
      </c>
      <c r="I5" s="73" t="s">
        <v>393</v>
      </c>
    </row>
    <row r="6" spans="1:9" ht="20" customHeight="1" x14ac:dyDescent="0.35">
      <c r="A6" s="68" t="s">
        <v>277</v>
      </c>
      <c r="B6" s="69">
        <v>0.2</v>
      </c>
      <c r="C6" s="69">
        <v>0.25</v>
      </c>
      <c r="D6" s="69">
        <v>0.15</v>
      </c>
      <c r="E6" s="69">
        <v>0.15</v>
      </c>
      <c r="F6" s="69">
        <v>0.1</v>
      </c>
      <c r="G6" s="69">
        <v>0.1</v>
      </c>
      <c r="H6" s="69">
        <v>0.05</v>
      </c>
      <c r="I6" s="70" t="s">
        <v>394</v>
      </c>
    </row>
    <row r="7" spans="1:9" ht="20" customHeight="1" x14ac:dyDescent="0.35">
      <c r="A7" s="71" t="s">
        <v>314</v>
      </c>
      <c r="B7" s="72">
        <v>0.3</v>
      </c>
      <c r="C7" s="72">
        <v>0.2</v>
      </c>
      <c r="D7" s="72">
        <v>0.25</v>
      </c>
      <c r="E7" s="72">
        <v>0.1</v>
      </c>
      <c r="F7" s="72">
        <v>0.05</v>
      </c>
      <c r="G7" s="72">
        <v>0.05</v>
      </c>
      <c r="H7" s="72">
        <v>0.05</v>
      </c>
      <c r="I7" s="73" t="s">
        <v>395</v>
      </c>
    </row>
    <row r="8" spans="1:9" ht="20" customHeight="1" x14ac:dyDescent="0.35">
      <c r="A8" s="68" t="s">
        <v>351</v>
      </c>
      <c r="B8" s="69">
        <v>0.15</v>
      </c>
      <c r="C8" s="69">
        <v>0.25</v>
      </c>
      <c r="D8" s="69">
        <v>0.25</v>
      </c>
      <c r="E8" s="69">
        <v>0.1</v>
      </c>
      <c r="F8" s="69">
        <v>0.1</v>
      </c>
      <c r="G8" s="69">
        <v>0.1</v>
      </c>
      <c r="H8" s="69">
        <v>0.05</v>
      </c>
      <c r="I8" s="70" t="s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SCORECARD</vt:lpstr>
      <vt:lpstr>SELECTOR</vt:lpstr>
      <vt:lpstr>README</vt:lpstr>
      <vt:lpstr>DATA_by_zone</vt:lpstr>
      <vt:lpstr>DATA_overall</vt:lpstr>
      <vt:lpstr>DATA_threshold</vt:lpstr>
      <vt:lpstr>SCORES</vt:lpstr>
      <vt:lpstr>APP_WEIGHTS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Desmond Lartey</cp:lastModifiedBy>
  <dcterms:created xsi:type="dcterms:W3CDTF">2026-04-23T17:38:59Z</dcterms:created>
  <dcterms:modified xsi:type="dcterms:W3CDTF">2026-04-23T18:16:29Z</dcterms:modified>
</cp:coreProperties>
</file>